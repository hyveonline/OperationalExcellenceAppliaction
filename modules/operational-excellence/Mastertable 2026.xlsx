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elias.eltayar\Spinneys\GMRLFILESERVER - Operational Excellence Department\Operational Excellence\Cesar-Elie\"/>
    </mc:Choice>
  </mc:AlternateContent>
  <xr:revisionPtr revIDLastSave="0" documentId="13_ncr:1_{1F9AFCE4-7209-4393-84B4-E2843FC6238E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Security" sheetId="1" r:id="rId1"/>
    <sheet name="Valet" sheetId="4" r:id="rId2"/>
    <sheet name="Cleaning" sheetId="2" r:id="rId3"/>
    <sheet name="Helpers" sheetId="3" r:id="rId4"/>
  </sheets>
  <definedNames>
    <definedName name="_xlnm._FilterDatabase" localSheetId="2" hidden="1">Cleaning!$A$2:$K$77</definedName>
    <definedName name="_xlnm._FilterDatabase" localSheetId="3" hidden="1">Helpers!$A$2:$I$34</definedName>
    <definedName name="_xlnm._FilterDatabase" localSheetId="0" hidden="1">Security!$A$2:$J$62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M5" i="4"/>
  <c r="J5" i="4"/>
  <c r="Q74" i="2"/>
  <c r="N74" i="2"/>
  <c r="K75" i="2"/>
  <c r="N75" i="2"/>
  <c r="Q75" i="2"/>
  <c r="Q73" i="2"/>
  <c r="N73" i="2"/>
  <c r="Q71" i="2"/>
  <c r="N7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2" i="2"/>
  <c r="Q76" i="2"/>
  <c r="O77" i="2"/>
  <c r="N15" i="2"/>
  <c r="N14" i="2"/>
  <c r="K15" i="2"/>
  <c r="K14" i="2"/>
  <c r="H10" i="4"/>
  <c r="Q77" i="2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K62" i="1"/>
  <c r="L26" i="3"/>
  <c r="I26" i="3"/>
  <c r="J3" i="4"/>
  <c r="J4" i="4"/>
  <c r="K10" i="4"/>
  <c r="M3" i="4"/>
  <c r="M10" i="4" s="1"/>
  <c r="M4" i="4"/>
  <c r="M6" i="4"/>
  <c r="M7" i="4"/>
  <c r="M8" i="4"/>
  <c r="M9" i="4"/>
  <c r="N3" i="2"/>
  <c r="N4" i="2"/>
  <c r="N5" i="2"/>
  <c r="N6" i="2"/>
  <c r="N7" i="2"/>
  <c r="N8" i="2"/>
  <c r="N9" i="2"/>
  <c r="N10" i="2"/>
  <c r="N11" i="2"/>
  <c r="N12" i="2"/>
  <c r="N13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2" i="2"/>
  <c r="N76" i="2"/>
  <c r="L77" i="2"/>
  <c r="J34" i="3"/>
  <c r="L33" i="3"/>
  <c r="L32" i="3"/>
  <c r="L31" i="3"/>
  <c r="L30" i="3"/>
  <c r="L29" i="3"/>
  <c r="L28" i="3"/>
  <c r="L27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J55" i="1"/>
  <c r="G34" i="3"/>
  <c r="I77" i="2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7" i="3"/>
  <c r="I28" i="3"/>
  <c r="I29" i="3"/>
  <c r="I30" i="3"/>
  <c r="I31" i="3"/>
  <c r="I32" i="3"/>
  <c r="I33" i="3"/>
  <c r="I3" i="3"/>
  <c r="K76" i="2"/>
  <c r="K72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3" i="2"/>
  <c r="K12" i="2"/>
  <c r="K11" i="2"/>
  <c r="K10" i="2"/>
  <c r="K9" i="2"/>
  <c r="K8" i="2"/>
  <c r="K7" i="2"/>
  <c r="K6" i="2"/>
  <c r="K5" i="2"/>
  <c r="K4" i="2"/>
  <c r="K3" i="2"/>
  <c r="J22" i="1"/>
  <c r="J23" i="1"/>
  <c r="J24" i="1"/>
  <c r="J9" i="4"/>
  <c r="J10" i="4" s="1"/>
  <c r="J8" i="4"/>
  <c r="J7" i="4"/>
  <c r="J6" i="4"/>
  <c r="H62" i="1"/>
  <c r="J61" i="1"/>
  <c r="J60" i="1"/>
  <c r="J59" i="1"/>
  <c r="J58" i="1"/>
  <c r="J57" i="1"/>
  <c r="J56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N77" i="2" l="1"/>
  <c r="M62" i="1"/>
  <c r="L34" i="3"/>
  <c r="I34" i="3"/>
  <c r="K77" i="2"/>
  <c r="J62" i="1"/>
</calcChain>
</file>

<file path=xl/sharedStrings.xml><?xml version="1.0" encoding="utf-8"?>
<sst xmlns="http://schemas.openxmlformats.org/spreadsheetml/2006/main" count="1049" uniqueCount="217">
  <si>
    <t>Code</t>
  </si>
  <si>
    <t>Scheme</t>
  </si>
  <si>
    <t>Branch</t>
  </si>
  <si>
    <t>Company</t>
  </si>
  <si>
    <t>Role</t>
  </si>
  <si>
    <t>Shifts</t>
  </si>
  <si>
    <t>Remarks</t>
  </si>
  <si>
    <t>AJLTUN</t>
  </si>
  <si>
    <t>Spinneys</t>
  </si>
  <si>
    <t>Ajaltoun</t>
  </si>
  <si>
    <t>Protectron</t>
  </si>
  <si>
    <t>Security</t>
  </si>
  <si>
    <t>12h</t>
  </si>
  <si>
    <t>ASH</t>
  </si>
  <si>
    <t>Ashrafieh Mar Mitr</t>
  </si>
  <si>
    <t>9h</t>
  </si>
  <si>
    <t>ASH2</t>
  </si>
  <si>
    <t>Ashrafieh Tilal Beirut</t>
  </si>
  <si>
    <t>ATINEH</t>
  </si>
  <si>
    <t>Ain El Tineh</t>
  </si>
  <si>
    <t>Happy</t>
  </si>
  <si>
    <t>HTRIP2</t>
  </si>
  <si>
    <t xml:space="preserve">Boulevard </t>
  </si>
  <si>
    <t>Valet</t>
  </si>
  <si>
    <t>Head Office</t>
  </si>
  <si>
    <t>DB509</t>
  </si>
  <si>
    <t xml:space="preserve">Dbayeh509 </t>
  </si>
  <si>
    <t>6 days</t>
  </si>
  <si>
    <t>Dbayeh509</t>
  </si>
  <si>
    <t>5 days</t>
  </si>
  <si>
    <t>CEN-WH</t>
  </si>
  <si>
    <t>Central Warehouse</t>
  </si>
  <si>
    <t>8h</t>
  </si>
  <si>
    <t>HADATH</t>
  </si>
  <si>
    <t>Hadath</t>
  </si>
  <si>
    <t>10h</t>
  </si>
  <si>
    <t>HALBA</t>
  </si>
  <si>
    <t>Halba</t>
  </si>
  <si>
    <t>IDRIS1</t>
  </si>
  <si>
    <t>Hamra</t>
  </si>
  <si>
    <t>ARDEH</t>
  </si>
  <si>
    <t>Happy / Ardeh (Tripoli)</t>
  </si>
  <si>
    <t>HSAKHR</t>
  </si>
  <si>
    <t>HO Block A</t>
  </si>
  <si>
    <t>JBEIL</t>
  </si>
  <si>
    <t>Jbeil</t>
  </si>
  <si>
    <t>KAHALE</t>
  </si>
  <si>
    <t>Kahale</t>
  </si>
  <si>
    <t>TYRE</t>
  </si>
  <si>
    <t>Tyre</t>
  </si>
  <si>
    <t>KHAYAT</t>
  </si>
  <si>
    <t>Tallet L Khayat</t>
  </si>
  <si>
    <t>TRIPOLI</t>
  </si>
  <si>
    <t xml:space="preserve">Tripoli </t>
  </si>
  <si>
    <t>HAPHAZ</t>
  </si>
  <si>
    <t>Happy Hazmieh</t>
  </si>
  <si>
    <t>I-Secure</t>
  </si>
  <si>
    <t>HAZWH</t>
  </si>
  <si>
    <t>Happy Hazmieh Warehouse</t>
  </si>
  <si>
    <t>HAPDEK</t>
  </si>
  <si>
    <t>Happy Dekweneh</t>
  </si>
  <si>
    <t>JNAH</t>
  </si>
  <si>
    <t>Spinneys Jnah</t>
  </si>
  <si>
    <t>HAMRA1711</t>
  </si>
  <si>
    <t>Spinneys Hamra 1711</t>
  </si>
  <si>
    <t>BSOUKS</t>
  </si>
  <si>
    <t xml:space="preserve">Signature </t>
  </si>
  <si>
    <t>Forearms</t>
  </si>
  <si>
    <t>Happy Tallet El Khayat</t>
  </si>
  <si>
    <t>ValetPeak</t>
  </si>
  <si>
    <t>CHF2</t>
  </si>
  <si>
    <t>Happy Choueifat</t>
  </si>
  <si>
    <t>RASBEI</t>
  </si>
  <si>
    <t>Head office Zouk</t>
  </si>
  <si>
    <t>DBAYEH</t>
  </si>
  <si>
    <t>Spinneys Dbayeh</t>
  </si>
  <si>
    <t>Middle East</t>
  </si>
  <si>
    <t>MTAYLB</t>
  </si>
  <si>
    <t xml:space="preserve">Mtayleb </t>
  </si>
  <si>
    <t>ZKMSBH</t>
  </si>
  <si>
    <t>Spinneys Zouk Mosbeh</t>
  </si>
  <si>
    <t>Electromania Tilal</t>
  </si>
  <si>
    <t>BATROUN</t>
  </si>
  <si>
    <t>Grab'n Go</t>
  </si>
  <si>
    <t>Grab'n Go Batroun</t>
  </si>
  <si>
    <t>5 Days</t>
  </si>
  <si>
    <t>HO2</t>
  </si>
  <si>
    <t>HAPZOUK</t>
  </si>
  <si>
    <t>Happy Zouk</t>
  </si>
  <si>
    <t>HSAKHER</t>
  </si>
  <si>
    <t>Happy Haret Sakher</t>
  </si>
  <si>
    <t xml:space="preserve">HAZ </t>
  </si>
  <si>
    <t>Spinneys Hazmieh</t>
  </si>
  <si>
    <t>SLALMA</t>
  </si>
  <si>
    <t>Spinneys Sahel Alma</t>
  </si>
  <si>
    <t>ANTLS</t>
  </si>
  <si>
    <t>Antelias</t>
  </si>
  <si>
    <t>MONANT</t>
  </si>
  <si>
    <t>Monoprix</t>
  </si>
  <si>
    <t>Monoprix Antelias</t>
  </si>
  <si>
    <t>CENTRO</t>
  </si>
  <si>
    <t>Happy Centro</t>
  </si>
  <si>
    <t>SKYGATE</t>
  </si>
  <si>
    <t>Spinneys Home</t>
  </si>
  <si>
    <t>SPHJNAH</t>
  </si>
  <si>
    <t>Spinneys Home Jnah</t>
  </si>
  <si>
    <t>SPHELS</t>
  </si>
  <si>
    <t>Spinneys Home Elissar</t>
  </si>
  <si>
    <t>ZHOCH</t>
  </si>
  <si>
    <t>Zahle (Ksara Square)</t>
  </si>
  <si>
    <t>JOUNIEH-WH</t>
  </si>
  <si>
    <t>Warehouse Jounieh</t>
  </si>
  <si>
    <t>Count</t>
  </si>
  <si>
    <t>Salary</t>
  </si>
  <si>
    <t>Total Cost</t>
  </si>
  <si>
    <t>January</t>
  </si>
  <si>
    <t>HO1</t>
  </si>
  <si>
    <t>HO Block B</t>
  </si>
  <si>
    <t>HO ZOUK</t>
  </si>
  <si>
    <t>Shifts (1 hour break included)</t>
  </si>
  <si>
    <t>Machines Owner</t>
  </si>
  <si>
    <t>Machine Name</t>
  </si>
  <si>
    <t>Achrafieh Tilal Beirut</t>
  </si>
  <si>
    <t xml:space="preserve"> Bright </t>
  </si>
  <si>
    <t>Cleaning</t>
  </si>
  <si>
    <t>Bright</t>
  </si>
  <si>
    <t xml:space="preserve">ASH </t>
  </si>
  <si>
    <t>Achrafieh Mar Mitr</t>
  </si>
  <si>
    <t>HAZ</t>
  </si>
  <si>
    <t>Hazmieh</t>
  </si>
  <si>
    <t>Dbayeh 509</t>
  </si>
  <si>
    <t>Tripoli</t>
  </si>
  <si>
    <t>SAIDA</t>
  </si>
  <si>
    <t>Saida</t>
  </si>
  <si>
    <t>Tyr</t>
  </si>
  <si>
    <t>Covering Offs</t>
  </si>
  <si>
    <t>Spinneys Mtayleb</t>
  </si>
  <si>
    <t>2 Walk-behind+Ride-on</t>
  </si>
  <si>
    <t>Happy Boulevard</t>
  </si>
  <si>
    <t>Happy Ardeh</t>
  </si>
  <si>
    <t>Happy Halba</t>
  </si>
  <si>
    <t>Happy Tallet el Khayat</t>
  </si>
  <si>
    <t>Haret Sakher</t>
  </si>
  <si>
    <t>MRTKLA</t>
  </si>
  <si>
    <t xml:space="preserve">Mar Takla </t>
  </si>
  <si>
    <t>IPTHLT</t>
  </si>
  <si>
    <t xml:space="preserve">IPT Halat </t>
  </si>
  <si>
    <t>GNGKFA</t>
  </si>
  <si>
    <t>Kfarhbab</t>
  </si>
  <si>
    <t>Batroun</t>
  </si>
  <si>
    <t>HTABET</t>
  </si>
  <si>
    <t>Horch Tabet/IPT Dekwaneh</t>
  </si>
  <si>
    <t>GNGASH</t>
  </si>
  <si>
    <t>Mar Mitr (Sioufi/Mar Mekhayel/Rizk)</t>
  </si>
  <si>
    <t>GNGAWK</t>
  </si>
  <si>
    <t>Grab'n Go Awkar</t>
  </si>
  <si>
    <t>Helpers</t>
  </si>
  <si>
    <t>SIOUFI</t>
  </si>
  <si>
    <t>Sioufi</t>
  </si>
  <si>
    <t>Assiyana</t>
  </si>
  <si>
    <t>Signature</t>
  </si>
  <si>
    <t>GMRL</t>
  </si>
  <si>
    <t>Vaccum</t>
  </si>
  <si>
    <t>Walk-Behind (Battery)</t>
  </si>
  <si>
    <t>BLISS</t>
  </si>
  <si>
    <t>GnG Hamra</t>
  </si>
  <si>
    <t>HAMRA2</t>
  </si>
  <si>
    <t xml:space="preserve">Wet &amp; Dry Vaccum </t>
  </si>
  <si>
    <t>Dbayeh head quarters</t>
  </si>
  <si>
    <t>HQ Dbayeh</t>
  </si>
  <si>
    <t>IPTA77</t>
  </si>
  <si>
    <t xml:space="preserve">GNG Amshit </t>
  </si>
  <si>
    <t>Happy Kahale</t>
  </si>
  <si>
    <t>SPOTC</t>
  </si>
  <si>
    <t>Spot C</t>
  </si>
  <si>
    <t>Walk-Behind</t>
  </si>
  <si>
    <t>ZOUK</t>
  </si>
  <si>
    <t>2 Walk-Behind</t>
  </si>
  <si>
    <t>Spinneys Ain El Tineh</t>
  </si>
  <si>
    <t>ASHMM</t>
  </si>
  <si>
    <t>Spinneys Jbeil</t>
  </si>
  <si>
    <t>Jnah</t>
  </si>
  <si>
    <t>Mtayleb</t>
  </si>
  <si>
    <t>Tallet El Khayat</t>
  </si>
  <si>
    <t>Centro</t>
  </si>
  <si>
    <t>Zouk Mosbeh HQ</t>
  </si>
  <si>
    <t>GNGNAC</t>
  </si>
  <si>
    <t>Grab'n Go Naccache</t>
  </si>
  <si>
    <t>GNGDBA</t>
  </si>
  <si>
    <t>Grab'n Go Dbayeh Waterfront</t>
  </si>
  <si>
    <t>Horch Tabet</t>
  </si>
  <si>
    <t>BADARO</t>
  </si>
  <si>
    <t>Grab'n Go Badaro</t>
  </si>
  <si>
    <t>RIZK</t>
  </si>
  <si>
    <t>Grab'n Go Rizk</t>
  </si>
  <si>
    <t>IPT Kaslik</t>
  </si>
  <si>
    <t>Grab'n Go Bliss</t>
  </si>
  <si>
    <t>MMKHAYEL</t>
  </si>
  <si>
    <t>GnG Mar Mkhayel</t>
  </si>
  <si>
    <t>Warehouse Dora</t>
  </si>
  <si>
    <t>2 Walk-behind+2 Ride-on</t>
  </si>
  <si>
    <t>AJLTN</t>
  </si>
  <si>
    <t>Spinneys Ajaltoun</t>
  </si>
  <si>
    <t>C-Plus</t>
  </si>
  <si>
    <t>Tandeef</t>
  </si>
  <si>
    <t>KASLIK</t>
  </si>
  <si>
    <t>SP Home</t>
  </si>
  <si>
    <t>Spinneys Home Achrafieh</t>
  </si>
  <si>
    <t>February</t>
  </si>
  <si>
    <t>VPS</t>
  </si>
  <si>
    <t>`</t>
  </si>
  <si>
    <t>Grab'n Go Mar Takla</t>
  </si>
  <si>
    <t>Spinneys Mtayleb (Catering)</t>
  </si>
  <si>
    <t>March</t>
  </si>
  <si>
    <t>IPTBAL</t>
  </si>
  <si>
    <t>Grab'n Go IPT Ballouneh</t>
  </si>
  <si>
    <t>UptownAve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</si>
</sst>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43CB8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3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4" borderId="13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8" borderId="13" xfId="0" applyFill="1" applyBorder="1"/>
    <xf numFmtId="0" fontId="0" fillId="0" borderId="18" xfId="0" applyBorder="1"/>
    <xf numFmtId="0" fontId="0" fillId="0" borderId="19" xfId="0" applyBorder="1"/>
    <xf numFmtId="0" fontId="0" fillId="0" borderId="4" xfId="0" applyBorder="1"/>
    <xf numFmtId="0" fontId="0" fillId="0" borderId="5" xfId="0" applyBorder="1"/>
    <xf numFmtId="0" fontId="0" fillId="8" borderId="20" xfId="0" applyFill="1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16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0" fontId="0" fillId="7" borderId="5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0" fontId="3" fillId="2" borderId="29" xfId="0" applyFont="1" applyFill="1" applyBorder="1"/>
    <xf numFmtId="0" fontId="3" fillId="2" borderId="20" xfId="0" applyFont="1" applyFill="1" applyBorder="1"/>
    <xf numFmtId="0" fontId="3" fillId="2" borderId="2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vertical="center"/>
    </xf>
    <xf numFmtId="164" fontId="3" fillId="2" borderId="28" xfId="1" applyNumberFormat="1" applyFont="1" applyFill="1" applyBorder="1" applyAlignment="1">
      <alignment horizontal="center" vertical="center"/>
    </xf>
    <xf numFmtId="164" fontId="3" fillId="2" borderId="30" xfId="1" applyNumberFormat="1" applyFont="1" applyFill="1" applyBorder="1" applyAlignment="1">
      <alignment horizontal="center" vertical="center"/>
    </xf>
    <xf numFmtId="0" fontId="0" fillId="0" borderId="31" xfId="0" applyBorder="1"/>
    <xf numFmtId="0" fontId="0" fillId="10" borderId="31" xfId="0" applyFill="1" applyBorder="1"/>
    <xf numFmtId="0" fontId="0" fillId="0" borderId="31" xfId="0" applyBorder="1" applyAlignment="1">
      <alignment horizontal="center"/>
    </xf>
    <xf numFmtId="164" fontId="0" fillId="0" borderId="3" xfId="1" applyNumberFormat="1" applyFont="1" applyBorder="1" applyAlignment="1">
      <alignment horizontal="center" vertical="center"/>
    </xf>
    <xf numFmtId="0" fontId="0" fillId="10" borderId="13" xfId="0" applyFill="1" applyBorder="1"/>
    <xf numFmtId="0" fontId="0" fillId="0" borderId="13" xfId="0" applyBorder="1" applyAlignment="1">
      <alignment horizontal="center"/>
    </xf>
    <xf numFmtId="164" fontId="0" fillId="0" borderId="32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10" borderId="13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11" borderId="13" xfId="0" applyFill="1" applyBorder="1"/>
    <xf numFmtId="164" fontId="0" fillId="0" borderId="13" xfId="1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12" borderId="13" xfId="0" applyFill="1" applyBorder="1"/>
    <xf numFmtId="0" fontId="0" fillId="13" borderId="13" xfId="0" applyFill="1" applyBorder="1"/>
    <xf numFmtId="0" fontId="0" fillId="0" borderId="0" xfId="0" applyAlignment="1">
      <alignment horizontal="center"/>
    </xf>
    <xf numFmtId="0" fontId="3" fillId="0" borderId="21" xfId="0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3" fillId="0" borderId="21" xfId="1" applyNumberFormat="1" applyFont="1" applyBorder="1" applyAlignment="1">
      <alignment horizontal="center" vertical="center"/>
    </xf>
    <xf numFmtId="0" fontId="0" fillId="13" borderId="5" xfId="0" applyFill="1" applyBorder="1"/>
    <xf numFmtId="0" fontId="0" fillId="0" borderId="5" xfId="0" applyBorder="1" applyAlignment="1">
      <alignment horizontal="center"/>
    </xf>
    <xf numFmtId="164" fontId="0" fillId="0" borderId="33" xfId="1" applyNumberFormat="1" applyFont="1" applyBorder="1" applyAlignment="1">
      <alignment horizontal="center" vertical="center"/>
    </xf>
    <xf numFmtId="0" fontId="3" fillId="2" borderId="3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12" borderId="5" xfId="0" applyFill="1" applyBorder="1"/>
    <xf numFmtId="0" fontId="0" fillId="0" borderId="6" xfId="0" applyBorder="1" applyAlignment="1">
      <alignment horizontal="center"/>
    </xf>
    <xf numFmtId="0" fontId="3" fillId="2" borderId="27" xfId="0" applyFont="1" applyFill="1" applyBorder="1"/>
    <xf numFmtId="0" fontId="3" fillId="2" borderId="28" xfId="0" applyFont="1" applyFill="1" applyBorder="1"/>
    <xf numFmtId="0" fontId="3" fillId="2" borderId="28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wrapText="1"/>
    </xf>
    <xf numFmtId="164" fontId="2" fillId="0" borderId="22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/>
    <xf numFmtId="0" fontId="0" fillId="0" borderId="3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14" xfId="1" applyNumberFormat="1" applyFont="1" applyFill="1" applyBorder="1" applyAlignment="1">
      <alignment horizontal="center" vertical="center"/>
    </xf>
    <xf numFmtId="0" fontId="0" fillId="12" borderId="19" xfId="0" applyFill="1" applyBorder="1"/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14" borderId="13" xfId="0" applyFill="1" applyBorder="1"/>
  </cellXfs>
  <cellStyles count="2">
    <cellStyle name="Currency" xfId="1" builtinId="4"/>
    <cellStyle name="Normal" xfId="0" builtinId="0"/>
  </cellStyles>
  <dxfs count="28"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D701B8"/>
        </patternFill>
      </fill>
    </dxf>
    <dxf>
      <fill>
        <patternFill>
          <bgColor rgb="FFFFFF00"/>
        </patternFill>
      </fill>
    </dxf>
    <dxf>
      <fill>
        <patternFill>
          <bgColor rgb="FFD701B8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43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62"/>
  <sheetViews>
    <sheetView workbookViewId="0">
      <pane xSplit="7" ySplit="2" topLeftCell="H5" activePane="bottomRight" state="frozen"/>
      <selection pane="topRight" activeCell="H1" sqref="H1"/>
      <selection pane="bottomLeft" activeCell="A3" sqref="A3"/>
      <selection pane="bottomRight" activeCell="G14" sqref="G14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25.85546875" bestFit="1" customWidth="1"/>
    <col min="4" max="4" width="11.28515625" bestFit="1" customWidth="1"/>
    <col min="5" max="5" width="8.140625" bestFit="1" customWidth="1"/>
    <col min="6" max="6" width="6.42578125" bestFit="1" customWidth="1"/>
    <col min="7" max="7" width="9.28515625" bestFit="1" customWidth="1"/>
    <col min="8" max="8" width="10.7109375" bestFit="1" customWidth="1"/>
    <col min="9" max="9" width="8" bestFit="1" customWidth="1"/>
    <col min="10" max="11" width="10.7109375" bestFit="1" customWidth="1"/>
    <col min="13" max="13" width="10.7109375" bestFit="1" customWidth="1"/>
  </cols>
  <sheetData>
    <row r="1" spans="1:13" ht="18.75" x14ac:dyDescent="0.25">
      <c r="A1" s="103"/>
      <c r="B1" s="104"/>
      <c r="C1" s="104"/>
      <c r="D1" s="104"/>
      <c r="E1" s="104"/>
      <c r="F1" s="104"/>
      <c r="G1" s="105"/>
      <c r="H1" s="106" t="s">
        <v>115</v>
      </c>
      <c r="I1" s="107"/>
      <c r="J1" s="108"/>
      <c r="K1" s="106" t="s">
        <v>208</v>
      </c>
      <c r="L1" s="107"/>
      <c r="M1" s="108"/>
    </row>
    <row r="2" spans="1:13" ht="16.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4" t="s">
        <v>6</v>
      </c>
      <c r="H2" s="45" t="s">
        <v>112</v>
      </c>
      <c r="I2" s="46" t="s">
        <v>113</v>
      </c>
      <c r="J2" s="47" t="s">
        <v>114</v>
      </c>
      <c r="K2" s="45" t="s">
        <v>112</v>
      </c>
      <c r="L2" s="46" t="s">
        <v>113</v>
      </c>
      <c r="M2" s="47" t="s">
        <v>114</v>
      </c>
    </row>
    <row r="3" spans="1:13" x14ac:dyDescent="0.25">
      <c r="A3" s="8" t="s">
        <v>13</v>
      </c>
      <c r="B3" s="9" t="s">
        <v>8</v>
      </c>
      <c r="C3" s="9" t="s">
        <v>14</v>
      </c>
      <c r="D3" s="10" t="s">
        <v>10</v>
      </c>
      <c r="E3" s="11" t="s">
        <v>11</v>
      </c>
      <c r="F3" s="12" t="s">
        <v>12</v>
      </c>
      <c r="G3" s="13"/>
      <c r="H3" s="48">
        <v>1</v>
      </c>
      <c r="I3" s="49">
        <v>810</v>
      </c>
      <c r="J3" s="50">
        <f t="shared" ref="J3:J33" si="0">H3*I3</f>
        <v>810</v>
      </c>
      <c r="K3" s="48">
        <v>1</v>
      </c>
      <c r="L3" s="49">
        <v>810</v>
      </c>
      <c r="M3" s="50">
        <f t="shared" ref="M3:M20" si="1">K3*L3</f>
        <v>810</v>
      </c>
    </row>
    <row r="4" spans="1:13" x14ac:dyDescent="0.25">
      <c r="A4" s="8" t="s">
        <v>13</v>
      </c>
      <c r="B4" s="9" t="s">
        <v>8</v>
      </c>
      <c r="C4" s="9" t="s">
        <v>14</v>
      </c>
      <c r="D4" s="10" t="s">
        <v>10</v>
      </c>
      <c r="E4" s="11" t="s">
        <v>11</v>
      </c>
      <c r="F4" s="12" t="s">
        <v>15</v>
      </c>
      <c r="G4" s="13"/>
      <c r="H4" s="31">
        <v>2</v>
      </c>
      <c r="I4" s="32">
        <v>645</v>
      </c>
      <c r="J4" s="33">
        <f t="shared" si="0"/>
        <v>1290</v>
      </c>
      <c r="K4" s="31">
        <v>2</v>
      </c>
      <c r="L4" s="32">
        <v>645</v>
      </c>
      <c r="M4" s="33">
        <f t="shared" si="1"/>
        <v>1290</v>
      </c>
    </row>
    <row r="5" spans="1:13" x14ac:dyDescent="0.25">
      <c r="A5" s="8" t="s">
        <v>16</v>
      </c>
      <c r="B5" s="9" t="s">
        <v>8</v>
      </c>
      <c r="C5" s="9" t="s">
        <v>17</v>
      </c>
      <c r="D5" s="10" t="s">
        <v>10</v>
      </c>
      <c r="E5" s="11" t="s">
        <v>11</v>
      </c>
      <c r="F5" s="12" t="s">
        <v>12</v>
      </c>
      <c r="G5" s="13"/>
      <c r="H5" s="31">
        <v>1</v>
      </c>
      <c r="I5" s="32">
        <v>810</v>
      </c>
      <c r="J5" s="33">
        <f t="shared" si="0"/>
        <v>810</v>
      </c>
      <c r="K5" s="31">
        <v>1</v>
      </c>
      <c r="L5" s="32">
        <v>810</v>
      </c>
      <c r="M5" s="33">
        <f t="shared" si="1"/>
        <v>810</v>
      </c>
    </row>
    <row r="6" spans="1:13" x14ac:dyDescent="0.25">
      <c r="A6" s="8" t="s">
        <v>16</v>
      </c>
      <c r="B6" s="9" t="s">
        <v>8</v>
      </c>
      <c r="C6" s="9" t="s">
        <v>17</v>
      </c>
      <c r="D6" s="10" t="s">
        <v>10</v>
      </c>
      <c r="E6" s="11" t="s">
        <v>11</v>
      </c>
      <c r="F6" s="12" t="s">
        <v>15</v>
      </c>
      <c r="G6" s="13"/>
      <c r="H6" s="31">
        <v>1</v>
      </c>
      <c r="I6" s="32">
        <v>645</v>
      </c>
      <c r="J6" s="33">
        <f t="shared" si="0"/>
        <v>645</v>
      </c>
      <c r="K6" s="31">
        <v>1</v>
      </c>
      <c r="L6" s="32">
        <v>645</v>
      </c>
      <c r="M6" s="33">
        <f t="shared" si="1"/>
        <v>645</v>
      </c>
    </row>
    <row r="7" spans="1:13" x14ac:dyDescent="0.25">
      <c r="A7" s="8" t="s">
        <v>18</v>
      </c>
      <c r="B7" s="9" t="s">
        <v>8</v>
      </c>
      <c r="C7" s="9" t="s">
        <v>19</v>
      </c>
      <c r="D7" s="10" t="s">
        <v>10</v>
      </c>
      <c r="E7" s="11" t="s">
        <v>11</v>
      </c>
      <c r="F7" s="12" t="s">
        <v>12</v>
      </c>
      <c r="G7" s="13"/>
      <c r="H7" s="31">
        <v>2</v>
      </c>
      <c r="I7" s="32">
        <v>810</v>
      </c>
      <c r="J7" s="33">
        <f t="shared" si="0"/>
        <v>1620</v>
      </c>
      <c r="K7" s="31">
        <v>2</v>
      </c>
      <c r="L7" s="32">
        <v>810</v>
      </c>
      <c r="M7" s="33">
        <f t="shared" si="1"/>
        <v>1620</v>
      </c>
    </row>
    <row r="8" spans="1:13" x14ac:dyDescent="0.25">
      <c r="A8" s="8" t="s">
        <v>21</v>
      </c>
      <c r="B8" s="9" t="s">
        <v>20</v>
      </c>
      <c r="C8" s="9" t="s">
        <v>22</v>
      </c>
      <c r="D8" s="10" t="s">
        <v>10</v>
      </c>
      <c r="E8" s="11" t="s">
        <v>11</v>
      </c>
      <c r="F8" s="12" t="s">
        <v>12</v>
      </c>
      <c r="G8" s="13"/>
      <c r="H8" s="31">
        <v>2</v>
      </c>
      <c r="I8" s="32">
        <v>810</v>
      </c>
      <c r="J8" s="33">
        <f t="shared" si="0"/>
        <v>1620</v>
      </c>
      <c r="K8" s="31">
        <v>2</v>
      </c>
      <c r="L8" s="32">
        <v>810</v>
      </c>
      <c r="M8" s="33">
        <f t="shared" si="1"/>
        <v>1620</v>
      </c>
    </row>
    <row r="9" spans="1:13" x14ac:dyDescent="0.25">
      <c r="A9" s="8" t="s">
        <v>25</v>
      </c>
      <c r="B9" s="9" t="s">
        <v>8</v>
      </c>
      <c r="C9" s="9" t="s">
        <v>26</v>
      </c>
      <c r="D9" s="10" t="s">
        <v>10</v>
      </c>
      <c r="E9" s="11" t="s">
        <v>11</v>
      </c>
      <c r="F9" s="12" t="s">
        <v>15</v>
      </c>
      <c r="G9" s="13" t="s">
        <v>27</v>
      </c>
      <c r="H9" s="31">
        <v>1</v>
      </c>
      <c r="I9" s="32">
        <v>580</v>
      </c>
      <c r="J9" s="33">
        <f t="shared" si="0"/>
        <v>580</v>
      </c>
      <c r="K9" s="31">
        <v>1</v>
      </c>
      <c r="L9" s="32">
        <v>580</v>
      </c>
      <c r="M9" s="33">
        <f t="shared" si="1"/>
        <v>580</v>
      </c>
    </row>
    <row r="10" spans="1:13" x14ac:dyDescent="0.25">
      <c r="A10" s="8" t="s">
        <v>25</v>
      </c>
      <c r="B10" s="9" t="s">
        <v>8</v>
      </c>
      <c r="C10" s="9" t="s">
        <v>28</v>
      </c>
      <c r="D10" s="10" t="s">
        <v>10</v>
      </c>
      <c r="E10" s="11" t="s">
        <v>11</v>
      </c>
      <c r="F10" s="12" t="s">
        <v>12</v>
      </c>
      <c r="G10" s="13"/>
      <c r="H10" s="31">
        <v>1</v>
      </c>
      <c r="I10" s="32">
        <v>810</v>
      </c>
      <c r="J10" s="33">
        <f t="shared" si="0"/>
        <v>810</v>
      </c>
      <c r="K10" s="31">
        <v>1</v>
      </c>
      <c r="L10" s="32">
        <v>810</v>
      </c>
      <c r="M10" s="33">
        <f t="shared" si="1"/>
        <v>810</v>
      </c>
    </row>
    <row r="11" spans="1:13" x14ac:dyDescent="0.25">
      <c r="A11" s="8" t="s">
        <v>30</v>
      </c>
      <c r="B11" s="9" t="s">
        <v>30</v>
      </c>
      <c r="C11" s="9" t="s">
        <v>31</v>
      </c>
      <c r="D11" s="10" t="s">
        <v>10</v>
      </c>
      <c r="E11" s="11" t="s">
        <v>11</v>
      </c>
      <c r="F11" s="12" t="s">
        <v>12</v>
      </c>
      <c r="G11" s="13" t="s">
        <v>27</v>
      </c>
      <c r="H11" s="31">
        <v>1</v>
      </c>
      <c r="I11" s="32">
        <v>760</v>
      </c>
      <c r="J11" s="33">
        <f t="shared" si="0"/>
        <v>760</v>
      </c>
      <c r="K11" s="31">
        <v>1</v>
      </c>
      <c r="L11" s="32">
        <v>760</v>
      </c>
      <c r="M11" s="33">
        <f t="shared" si="1"/>
        <v>760</v>
      </c>
    </row>
    <row r="12" spans="1:13" x14ac:dyDescent="0.25">
      <c r="A12" s="8" t="s">
        <v>30</v>
      </c>
      <c r="B12" s="9" t="s">
        <v>30</v>
      </c>
      <c r="C12" s="9" t="s">
        <v>31</v>
      </c>
      <c r="D12" s="10" t="s">
        <v>10</v>
      </c>
      <c r="E12" s="11" t="s">
        <v>11</v>
      </c>
      <c r="F12" s="12" t="s">
        <v>12</v>
      </c>
      <c r="G12" s="13"/>
      <c r="H12" s="31">
        <v>5</v>
      </c>
      <c r="I12" s="32">
        <v>810</v>
      </c>
      <c r="J12" s="33">
        <f t="shared" si="0"/>
        <v>4050</v>
      </c>
      <c r="K12" s="31">
        <v>5</v>
      </c>
      <c r="L12" s="32">
        <v>810</v>
      </c>
      <c r="M12" s="33">
        <f t="shared" si="1"/>
        <v>4050</v>
      </c>
    </row>
    <row r="13" spans="1:13" x14ac:dyDescent="0.25">
      <c r="A13" s="8" t="s">
        <v>33</v>
      </c>
      <c r="B13" s="9" t="s">
        <v>20</v>
      </c>
      <c r="C13" s="9" t="s">
        <v>34</v>
      </c>
      <c r="D13" s="10" t="s">
        <v>10</v>
      </c>
      <c r="E13" s="11" t="s">
        <v>11</v>
      </c>
      <c r="F13" s="12" t="s">
        <v>12</v>
      </c>
      <c r="G13" s="13"/>
      <c r="H13" s="31">
        <v>2</v>
      </c>
      <c r="I13" s="32">
        <v>810</v>
      </c>
      <c r="J13" s="33">
        <f t="shared" si="0"/>
        <v>1620</v>
      </c>
      <c r="K13" s="31">
        <v>2</v>
      </c>
      <c r="L13" s="32">
        <v>810</v>
      </c>
      <c r="M13" s="33">
        <f t="shared" si="1"/>
        <v>1620</v>
      </c>
    </row>
    <row r="14" spans="1:13" x14ac:dyDescent="0.25">
      <c r="A14" s="8" t="s">
        <v>33</v>
      </c>
      <c r="B14" s="9" t="s">
        <v>20</v>
      </c>
      <c r="C14" s="9" t="s">
        <v>34</v>
      </c>
      <c r="D14" s="10" t="s">
        <v>10</v>
      </c>
      <c r="E14" s="11" t="s">
        <v>23</v>
      </c>
      <c r="F14" s="12" t="s">
        <v>35</v>
      </c>
      <c r="G14" s="13" t="s">
        <v>23</v>
      </c>
      <c r="H14" s="31">
        <v>1</v>
      </c>
      <c r="I14" s="32">
        <v>810</v>
      </c>
      <c r="J14" s="33">
        <f t="shared" si="0"/>
        <v>810</v>
      </c>
      <c r="K14" s="31">
        <v>1</v>
      </c>
      <c r="L14" s="32">
        <v>810</v>
      </c>
      <c r="M14" s="33">
        <f t="shared" si="1"/>
        <v>810</v>
      </c>
    </row>
    <row r="15" spans="1:13" x14ac:dyDescent="0.25">
      <c r="A15" s="8" t="s">
        <v>36</v>
      </c>
      <c r="B15" s="9" t="s">
        <v>20</v>
      </c>
      <c r="C15" s="9" t="s">
        <v>37</v>
      </c>
      <c r="D15" s="10" t="s">
        <v>10</v>
      </c>
      <c r="E15" s="11" t="s">
        <v>11</v>
      </c>
      <c r="F15" s="12" t="s">
        <v>12</v>
      </c>
      <c r="G15" s="13"/>
      <c r="H15" s="31">
        <v>2</v>
      </c>
      <c r="I15" s="32">
        <v>810</v>
      </c>
      <c r="J15" s="33">
        <f t="shared" si="0"/>
        <v>1620</v>
      </c>
      <c r="K15" s="31">
        <v>2</v>
      </c>
      <c r="L15" s="32">
        <v>810</v>
      </c>
      <c r="M15" s="33">
        <f t="shared" si="1"/>
        <v>1620</v>
      </c>
    </row>
    <row r="16" spans="1:13" x14ac:dyDescent="0.25">
      <c r="A16" s="8" t="s">
        <v>36</v>
      </c>
      <c r="B16" s="9" t="s">
        <v>20</v>
      </c>
      <c r="C16" s="9" t="s">
        <v>37</v>
      </c>
      <c r="D16" s="10" t="s">
        <v>10</v>
      </c>
      <c r="E16" s="11" t="s">
        <v>11</v>
      </c>
      <c r="F16" s="12" t="s">
        <v>15</v>
      </c>
      <c r="G16" s="13"/>
      <c r="H16" s="31">
        <v>1</v>
      </c>
      <c r="I16" s="32">
        <v>645</v>
      </c>
      <c r="J16" s="33">
        <f t="shared" si="0"/>
        <v>645</v>
      </c>
      <c r="K16" s="31">
        <v>1</v>
      </c>
      <c r="L16" s="32">
        <v>645</v>
      </c>
      <c r="M16" s="33">
        <f t="shared" si="1"/>
        <v>645</v>
      </c>
    </row>
    <row r="17" spans="1:13" x14ac:dyDescent="0.25">
      <c r="A17" s="8" t="s">
        <v>38</v>
      </c>
      <c r="B17" s="9" t="s">
        <v>8</v>
      </c>
      <c r="C17" s="9" t="s">
        <v>39</v>
      </c>
      <c r="D17" s="10" t="s">
        <v>10</v>
      </c>
      <c r="E17" s="11" t="s">
        <v>11</v>
      </c>
      <c r="F17" s="12" t="s">
        <v>12</v>
      </c>
      <c r="G17" s="13"/>
      <c r="H17" s="31">
        <v>1</v>
      </c>
      <c r="I17" s="32">
        <v>810</v>
      </c>
      <c r="J17" s="33">
        <f t="shared" si="0"/>
        <v>810</v>
      </c>
      <c r="K17" s="31">
        <v>1</v>
      </c>
      <c r="L17" s="32">
        <v>810</v>
      </c>
      <c r="M17" s="33">
        <f t="shared" si="1"/>
        <v>810</v>
      </c>
    </row>
    <row r="18" spans="1:13" x14ac:dyDescent="0.25">
      <c r="A18" s="8" t="s">
        <v>40</v>
      </c>
      <c r="B18" s="9" t="s">
        <v>20</v>
      </c>
      <c r="C18" s="9" t="s">
        <v>41</v>
      </c>
      <c r="D18" s="10" t="s">
        <v>10</v>
      </c>
      <c r="E18" s="11" t="s">
        <v>11</v>
      </c>
      <c r="F18" s="12" t="s">
        <v>15</v>
      </c>
      <c r="G18" s="13"/>
      <c r="H18" s="31">
        <v>1</v>
      </c>
      <c r="I18" s="32">
        <v>645</v>
      </c>
      <c r="J18" s="33">
        <f t="shared" si="0"/>
        <v>645</v>
      </c>
      <c r="K18" s="31">
        <v>1</v>
      </c>
      <c r="L18" s="32">
        <v>645</v>
      </c>
      <c r="M18" s="33">
        <f t="shared" si="1"/>
        <v>645</v>
      </c>
    </row>
    <row r="19" spans="1:13" x14ac:dyDescent="0.25">
      <c r="A19" s="8" t="s">
        <v>40</v>
      </c>
      <c r="B19" s="9" t="s">
        <v>20</v>
      </c>
      <c r="C19" s="9" t="s">
        <v>41</v>
      </c>
      <c r="D19" s="10" t="s">
        <v>10</v>
      </c>
      <c r="E19" s="11" t="s">
        <v>11</v>
      </c>
      <c r="F19" s="12" t="s">
        <v>12</v>
      </c>
      <c r="G19" s="13"/>
      <c r="H19" s="31">
        <v>1</v>
      </c>
      <c r="I19" s="32">
        <v>810</v>
      </c>
      <c r="J19" s="33">
        <f t="shared" si="0"/>
        <v>810</v>
      </c>
      <c r="K19" s="31">
        <v>1</v>
      </c>
      <c r="L19" s="32">
        <v>810</v>
      </c>
      <c r="M19" s="33">
        <f t="shared" si="1"/>
        <v>810</v>
      </c>
    </row>
    <row r="20" spans="1:13" x14ac:dyDescent="0.25">
      <c r="A20" s="8" t="s">
        <v>116</v>
      </c>
      <c r="B20" s="9" t="s">
        <v>24</v>
      </c>
      <c r="C20" s="9" t="s">
        <v>43</v>
      </c>
      <c r="D20" s="10" t="s">
        <v>10</v>
      </c>
      <c r="E20" s="11" t="s">
        <v>11</v>
      </c>
      <c r="F20" s="12" t="s">
        <v>12</v>
      </c>
      <c r="G20" s="13"/>
      <c r="H20" s="31">
        <v>1</v>
      </c>
      <c r="I20" s="32">
        <v>810</v>
      </c>
      <c r="J20" s="33">
        <f t="shared" si="0"/>
        <v>810</v>
      </c>
      <c r="K20" s="31">
        <v>1</v>
      </c>
      <c r="L20" s="32">
        <v>810</v>
      </c>
      <c r="M20" s="33">
        <f>K20*L20</f>
        <v>810</v>
      </c>
    </row>
    <row r="21" spans="1:13" x14ac:dyDescent="0.25">
      <c r="A21" s="8" t="s">
        <v>116</v>
      </c>
      <c r="B21" s="9" t="s">
        <v>24</v>
      </c>
      <c r="C21" s="9" t="s">
        <v>43</v>
      </c>
      <c r="D21" s="10" t="s">
        <v>10</v>
      </c>
      <c r="E21" s="11" t="s">
        <v>11</v>
      </c>
      <c r="F21" s="12" t="s">
        <v>12</v>
      </c>
      <c r="G21" s="13" t="s">
        <v>29</v>
      </c>
      <c r="H21" s="31">
        <v>1</v>
      </c>
      <c r="I21" s="32">
        <v>710</v>
      </c>
      <c r="J21" s="33">
        <f>H21*I21</f>
        <v>710</v>
      </c>
      <c r="K21" s="31">
        <v>1</v>
      </c>
      <c r="L21" s="32">
        <v>710</v>
      </c>
      <c r="M21" s="33">
        <f>K21*L21</f>
        <v>710</v>
      </c>
    </row>
    <row r="22" spans="1:13" x14ac:dyDescent="0.25">
      <c r="A22" s="8" t="s">
        <v>44</v>
      </c>
      <c r="B22" s="9" t="s">
        <v>8</v>
      </c>
      <c r="C22" s="9" t="s">
        <v>45</v>
      </c>
      <c r="D22" s="10" t="s">
        <v>10</v>
      </c>
      <c r="E22" s="11" t="s">
        <v>11</v>
      </c>
      <c r="F22" s="12" t="s">
        <v>12</v>
      </c>
      <c r="G22" s="13"/>
      <c r="H22" s="31">
        <v>2</v>
      </c>
      <c r="I22" s="32">
        <v>810</v>
      </c>
      <c r="J22" s="33">
        <f t="shared" si="0"/>
        <v>1620</v>
      </c>
      <c r="K22" s="31">
        <v>2</v>
      </c>
      <c r="L22" s="32">
        <v>810</v>
      </c>
      <c r="M22" s="33">
        <f t="shared" ref="M22:M51" si="2">K22*L22</f>
        <v>1620</v>
      </c>
    </row>
    <row r="23" spans="1:13" x14ac:dyDescent="0.25">
      <c r="A23" s="8" t="s">
        <v>44</v>
      </c>
      <c r="B23" s="9" t="s">
        <v>8</v>
      </c>
      <c r="C23" s="9" t="s">
        <v>45</v>
      </c>
      <c r="D23" s="10" t="s">
        <v>10</v>
      </c>
      <c r="E23" s="11" t="s">
        <v>11</v>
      </c>
      <c r="F23" s="12" t="s">
        <v>15</v>
      </c>
      <c r="G23" s="13"/>
      <c r="H23" s="31">
        <v>1</v>
      </c>
      <c r="I23" s="32">
        <v>645</v>
      </c>
      <c r="J23" s="33">
        <f t="shared" si="0"/>
        <v>645</v>
      </c>
      <c r="K23" s="31">
        <v>1</v>
      </c>
      <c r="L23" s="32">
        <v>645</v>
      </c>
      <c r="M23" s="33">
        <f t="shared" si="2"/>
        <v>645</v>
      </c>
    </row>
    <row r="24" spans="1:13" x14ac:dyDescent="0.25">
      <c r="A24" s="8" t="s">
        <v>46</v>
      </c>
      <c r="B24" s="9" t="s">
        <v>20</v>
      </c>
      <c r="C24" s="9" t="s">
        <v>47</v>
      </c>
      <c r="D24" s="10" t="s">
        <v>10</v>
      </c>
      <c r="E24" s="11" t="s">
        <v>11</v>
      </c>
      <c r="F24" s="12" t="s">
        <v>12</v>
      </c>
      <c r="G24" s="13"/>
      <c r="H24" s="31">
        <v>2</v>
      </c>
      <c r="I24" s="32">
        <v>810</v>
      </c>
      <c r="J24" s="33">
        <f t="shared" si="0"/>
        <v>1620</v>
      </c>
      <c r="K24" s="31">
        <v>2</v>
      </c>
      <c r="L24" s="32">
        <v>810</v>
      </c>
      <c r="M24" s="33">
        <f t="shared" si="2"/>
        <v>1620</v>
      </c>
    </row>
    <row r="25" spans="1:13" x14ac:dyDescent="0.25">
      <c r="A25" s="8" t="s">
        <v>48</v>
      </c>
      <c r="B25" s="9" t="s">
        <v>8</v>
      </c>
      <c r="C25" s="9" t="s">
        <v>49</v>
      </c>
      <c r="D25" s="10" t="s">
        <v>10</v>
      </c>
      <c r="E25" s="11" t="s">
        <v>11</v>
      </c>
      <c r="F25" s="12" t="s">
        <v>15</v>
      </c>
      <c r="G25" s="13"/>
      <c r="H25" s="31">
        <v>1</v>
      </c>
      <c r="I25" s="32">
        <v>645</v>
      </c>
      <c r="J25" s="33">
        <f t="shared" si="0"/>
        <v>645</v>
      </c>
      <c r="K25" s="31">
        <v>1</v>
      </c>
      <c r="L25" s="32">
        <v>645</v>
      </c>
      <c r="M25" s="33">
        <f t="shared" si="2"/>
        <v>645</v>
      </c>
    </row>
    <row r="26" spans="1:13" x14ac:dyDescent="0.25">
      <c r="A26" s="8" t="s">
        <v>50</v>
      </c>
      <c r="B26" s="9" t="s">
        <v>20</v>
      </c>
      <c r="C26" s="9" t="s">
        <v>51</v>
      </c>
      <c r="D26" s="10" t="s">
        <v>10</v>
      </c>
      <c r="E26" s="11" t="s">
        <v>11</v>
      </c>
      <c r="F26" s="12" t="s">
        <v>12</v>
      </c>
      <c r="G26" s="13"/>
      <c r="H26" s="31">
        <v>1</v>
      </c>
      <c r="I26" s="32">
        <v>810</v>
      </c>
      <c r="J26" s="33">
        <f t="shared" si="0"/>
        <v>810</v>
      </c>
      <c r="K26" s="31">
        <v>1</v>
      </c>
      <c r="L26" s="32">
        <v>810</v>
      </c>
      <c r="M26" s="33">
        <f t="shared" si="2"/>
        <v>810</v>
      </c>
    </row>
    <row r="27" spans="1:13" x14ac:dyDescent="0.25">
      <c r="A27" s="8" t="s">
        <v>52</v>
      </c>
      <c r="B27" s="9" t="s">
        <v>8</v>
      </c>
      <c r="C27" s="9" t="s">
        <v>53</v>
      </c>
      <c r="D27" s="10" t="s">
        <v>10</v>
      </c>
      <c r="E27" s="11" t="s">
        <v>11</v>
      </c>
      <c r="F27" s="12" t="s">
        <v>12</v>
      </c>
      <c r="G27" s="13"/>
      <c r="H27" s="31">
        <v>2</v>
      </c>
      <c r="I27" s="32">
        <v>810</v>
      </c>
      <c r="J27" s="33">
        <f t="shared" si="0"/>
        <v>1620</v>
      </c>
      <c r="K27" s="31">
        <v>2</v>
      </c>
      <c r="L27" s="32">
        <v>810</v>
      </c>
      <c r="M27" s="33">
        <f t="shared" si="2"/>
        <v>1620</v>
      </c>
    </row>
    <row r="28" spans="1:13" x14ac:dyDescent="0.25">
      <c r="A28" s="8" t="s">
        <v>52</v>
      </c>
      <c r="B28" s="9" t="s">
        <v>8</v>
      </c>
      <c r="C28" s="9" t="s">
        <v>53</v>
      </c>
      <c r="D28" s="10" t="s">
        <v>10</v>
      </c>
      <c r="E28" s="11" t="s">
        <v>11</v>
      </c>
      <c r="F28" s="12" t="s">
        <v>32</v>
      </c>
      <c r="G28" s="13"/>
      <c r="H28" s="31">
        <v>2</v>
      </c>
      <c r="I28" s="32">
        <v>565</v>
      </c>
      <c r="J28" s="33">
        <f t="shared" si="0"/>
        <v>1130</v>
      </c>
      <c r="K28" s="31">
        <v>2</v>
      </c>
      <c r="L28" s="32">
        <v>565</v>
      </c>
      <c r="M28" s="33">
        <f t="shared" si="2"/>
        <v>1130</v>
      </c>
    </row>
    <row r="29" spans="1:13" x14ac:dyDescent="0.25">
      <c r="A29" s="8" t="s">
        <v>54</v>
      </c>
      <c r="B29" s="9" t="s">
        <v>20</v>
      </c>
      <c r="C29" s="9" t="s">
        <v>55</v>
      </c>
      <c r="D29" s="14" t="s">
        <v>56</v>
      </c>
      <c r="E29" s="11" t="s">
        <v>11</v>
      </c>
      <c r="F29" s="12" t="s">
        <v>15</v>
      </c>
      <c r="G29" s="13"/>
      <c r="H29" s="34">
        <v>5</v>
      </c>
      <c r="I29" s="32">
        <v>645</v>
      </c>
      <c r="J29" s="33">
        <f t="shared" si="0"/>
        <v>3225</v>
      </c>
      <c r="K29" s="34">
        <v>5</v>
      </c>
      <c r="L29" s="32">
        <v>645</v>
      </c>
      <c r="M29" s="33">
        <f t="shared" si="2"/>
        <v>3225</v>
      </c>
    </row>
    <row r="30" spans="1:13" x14ac:dyDescent="0.25">
      <c r="A30" s="8" t="s">
        <v>57</v>
      </c>
      <c r="B30" s="9" t="s">
        <v>30</v>
      </c>
      <c r="C30" s="9" t="s">
        <v>58</v>
      </c>
      <c r="D30" s="14" t="s">
        <v>56</v>
      </c>
      <c r="E30" s="11" t="s">
        <v>11</v>
      </c>
      <c r="F30" s="12" t="s">
        <v>32</v>
      </c>
      <c r="G30" s="13" t="s">
        <v>27</v>
      </c>
      <c r="H30" s="34">
        <v>1</v>
      </c>
      <c r="I30" s="32">
        <v>560</v>
      </c>
      <c r="J30" s="33">
        <f t="shared" si="0"/>
        <v>560</v>
      </c>
      <c r="K30" s="34">
        <v>1</v>
      </c>
      <c r="L30" s="32">
        <v>560</v>
      </c>
      <c r="M30" s="33">
        <f t="shared" si="2"/>
        <v>560</v>
      </c>
    </row>
    <row r="31" spans="1:13" x14ac:dyDescent="0.25">
      <c r="A31" s="8" t="s">
        <v>59</v>
      </c>
      <c r="B31" s="9" t="s">
        <v>20</v>
      </c>
      <c r="C31" s="9" t="s">
        <v>60</v>
      </c>
      <c r="D31" s="14" t="s">
        <v>56</v>
      </c>
      <c r="E31" s="11" t="s">
        <v>11</v>
      </c>
      <c r="F31" s="12" t="s">
        <v>15</v>
      </c>
      <c r="G31" s="13"/>
      <c r="H31" s="34">
        <v>4</v>
      </c>
      <c r="I31" s="32">
        <v>645</v>
      </c>
      <c r="J31" s="33">
        <f t="shared" si="0"/>
        <v>2580</v>
      </c>
      <c r="K31" s="34">
        <v>4</v>
      </c>
      <c r="L31" s="32">
        <v>645</v>
      </c>
      <c r="M31" s="33">
        <f t="shared" si="2"/>
        <v>2580</v>
      </c>
    </row>
    <row r="32" spans="1:13" x14ac:dyDescent="0.25">
      <c r="A32" s="8" t="s">
        <v>61</v>
      </c>
      <c r="B32" s="9" t="s">
        <v>8</v>
      </c>
      <c r="C32" s="9" t="s">
        <v>62</v>
      </c>
      <c r="D32" s="14" t="s">
        <v>56</v>
      </c>
      <c r="E32" s="11" t="s">
        <v>11</v>
      </c>
      <c r="F32" s="12" t="s">
        <v>15</v>
      </c>
      <c r="G32" s="13"/>
      <c r="H32" s="34">
        <v>5</v>
      </c>
      <c r="I32" s="32">
        <v>645</v>
      </c>
      <c r="J32" s="33">
        <f t="shared" si="0"/>
        <v>3225</v>
      </c>
      <c r="K32" s="34">
        <v>5</v>
      </c>
      <c r="L32" s="32">
        <v>645</v>
      </c>
      <c r="M32" s="33">
        <f t="shared" si="2"/>
        <v>3225</v>
      </c>
    </row>
    <row r="33" spans="1:13" x14ac:dyDescent="0.25">
      <c r="A33" s="8" t="s">
        <v>63</v>
      </c>
      <c r="B33" s="9" t="s">
        <v>8</v>
      </c>
      <c r="C33" s="9" t="s">
        <v>64</v>
      </c>
      <c r="D33" s="14" t="s">
        <v>56</v>
      </c>
      <c r="E33" s="11" t="s">
        <v>11</v>
      </c>
      <c r="F33" s="12" t="s">
        <v>15</v>
      </c>
      <c r="G33" s="13"/>
      <c r="H33" s="34">
        <v>2</v>
      </c>
      <c r="I33" s="32">
        <v>645</v>
      </c>
      <c r="J33" s="33">
        <f t="shared" si="0"/>
        <v>1290</v>
      </c>
      <c r="K33" s="34">
        <v>2</v>
      </c>
      <c r="L33" s="32">
        <v>645</v>
      </c>
      <c r="M33" s="33">
        <f t="shared" si="2"/>
        <v>1290</v>
      </c>
    </row>
    <row r="34" spans="1:13" x14ac:dyDescent="0.25">
      <c r="A34" s="8" t="s">
        <v>65</v>
      </c>
      <c r="B34" s="9" t="s">
        <v>8</v>
      </c>
      <c r="C34" s="9" t="s">
        <v>66</v>
      </c>
      <c r="D34" s="15" t="s">
        <v>67</v>
      </c>
      <c r="E34" s="11" t="s">
        <v>11</v>
      </c>
      <c r="F34" s="12" t="s">
        <v>15</v>
      </c>
      <c r="G34" s="13"/>
      <c r="H34" s="31">
        <v>4</v>
      </c>
      <c r="I34" s="32">
        <v>635</v>
      </c>
      <c r="J34" s="33">
        <f t="shared" ref="J34:J51" si="3">H34*I34</f>
        <v>2540</v>
      </c>
      <c r="K34" s="31">
        <v>4</v>
      </c>
      <c r="L34" s="32">
        <v>635</v>
      </c>
      <c r="M34" s="33">
        <f t="shared" si="2"/>
        <v>2540</v>
      </c>
    </row>
    <row r="35" spans="1:13" x14ac:dyDescent="0.25">
      <c r="A35" s="8" t="s">
        <v>74</v>
      </c>
      <c r="B35" s="9" t="s">
        <v>8</v>
      </c>
      <c r="C35" s="9" t="s">
        <v>75</v>
      </c>
      <c r="D35" s="20" t="s">
        <v>76</v>
      </c>
      <c r="E35" s="17" t="s">
        <v>11</v>
      </c>
      <c r="F35" s="18" t="s">
        <v>12</v>
      </c>
      <c r="G35" s="19"/>
      <c r="H35" s="35">
        <v>5</v>
      </c>
      <c r="I35" s="36">
        <v>810</v>
      </c>
      <c r="J35" s="37">
        <f t="shared" si="3"/>
        <v>4050</v>
      </c>
      <c r="K35" s="35">
        <v>5</v>
      </c>
      <c r="L35" s="36">
        <v>810</v>
      </c>
      <c r="M35" s="37">
        <f t="shared" si="2"/>
        <v>4050</v>
      </c>
    </row>
    <row r="36" spans="1:13" x14ac:dyDescent="0.25">
      <c r="A36" s="8" t="s">
        <v>74</v>
      </c>
      <c r="B36" s="9" t="s">
        <v>8</v>
      </c>
      <c r="C36" s="9" t="s">
        <v>75</v>
      </c>
      <c r="D36" s="20" t="s">
        <v>76</v>
      </c>
      <c r="E36" s="17" t="s">
        <v>11</v>
      </c>
      <c r="F36" s="18" t="s">
        <v>15</v>
      </c>
      <c r="G36" s="19"/>
      <c r="H36" s="35">
        <v>1</v>
      </c>
      <c r="I36" s="36">
        <v>645</v>
      </c>
      <c r="J36" s="37">
        <f t="shared" si="3"/>
        <v>645</v>
      </c>
      <c r="K36" s="35">
        <v>1</v>
      </c>
      <c r="L36" s="36">
        <v>645</v>
      </c>
      <c r="M36" s="37">
        <f t="shared" si="2"/>
        <v>645</v>
      </c>
    </row>
    <row r="37" spans="1:13" x14ac:dyDescent="0.25">
      <c r="A37" s="21" t="s">
        <v>77</v>
      </c>
      <c r="B37" s="22" t="s">
        <v>8</v>
      </c>
      <c r="C37" s="22" t="s">
        <v>78</v>
      </c>
      <c r="D37" s="20" t="s">
        <v>76</v>
      </c>
      <c r="E37" s="17" t="s">
        <v>11</v>
      </c>
      <c r="F37" s="18" t="s">
        <v>12</v>
      </c>
      <c r="G37" s="19"/>
      <c r="H37" s="35">
        <v>2</v>
      </c>
      <c r="I37" s="36">
        <v>810</v>
      </c>
      <c r="J37" s="37">
        <f t="shared" si="3"/>
        <v>1620</v>
      </c>
      <c r="K37" s="35">
        <v>2</v>
      </c>
      <c r="L37" s="36">
        <v>810</v>
      </c>
      <c r="M37" s="37">
        <f t="shared" si="2"/>
        <v>1620</v>
      </c>
    </row>
    <row r="38" spans="1:13" x14ac:dyDescent="0.25">
      <c r="A38" s="21" t="s">
        <v>77</v>
      </c>
      <c r="B38" s="22" t="s">
        <v>8</v>
      </c>
      <c r="C38" s="22" t="s">
        <v>78</v>
      </c>
      <c r="D38" s="20" t="s">
        <v>76</v>
      </c>
      <c r="E38" s="17" t="s">
        <v>11</v>
      </c>
      <c r="F38" s="18" t="s">
        <v>15</v>
      </c>
      <c r="G38" s="19"/>
      <c r="H38" s="35">
        <v>2</v>
      </c>
      <c r="I38" s="36">
        <v>645</v>
      </c>
      <c r="J38" s="37">
        <f t="shared" si="3"/>
        <v>1290</v>
      </c>
      <c r="K38" s="35">
        <v>2</v>
      </c>
      <c r="L38" s="36">
        <v>645</v>
      </c>
      <c r="M38" s="37">
        <f t="shared" si="2"/>
        <v>1290</v>
      </c>
    </row>
    <row r="39" spans="1:13" x14ac:dyDescent="0.25">
      <c r="A39" s="21" t="s">
        <v>79</v>
      </c>
      <c r="B39" s="22" t="s">
        <v>8</v>
      </c>
      <c r="C39" s="22" t="s">
        <v>80</v>
      </c>
      <c r="D39" s="20" t="s">
        <v>76</v>
      </c>
      <c r="E39" s="17" t="s">
        <v>11</v>
      </c>
      <c r="F39" s="18" t="s">
        <v>12</v>
      </c>
      <c r="G39" s="19"/>
      <c r="H39" s="35">
        <v>2</v>
      </c>
      <c r="I39" s="36">
        <v>810</v>
      </c>
      <c r="J39" s="37">
        <f t="shared" si="3"/>
        <v>1620</v>
      </c>
      <c r="K39" s="35">
        <v>2</v>
      </c>
      <c r="L39" s="36">
        <v>810</v>
      </c>
      <c r="M39" s="37">
        <f t="shared" si="2"/>
        <v>1620</v>
      </c>
    </row>
    <row r="40" spans="1:13" x14ac:dyDescent="0.25">
      <c r="A40" s="21" t="s">
        <v>16</v>
      </c>
      <c r="B40" s="22" t="s">
        <v>8</v>
      </c>
      <c r="C40" s="22" t="s">
        <v>81</v>
      </c>
      <c r="D40" s="20" t="s">
        <v>76</v>
      </c>
      <c r="E40" s="17" t="s">
        <v>11</v>
      </c>
      <c r="F40" s="18" t="s">
        <v>12</v>
      </c>
      <c r="G40" s="19"/>
      <c r="H40" s="35">
        <v>1</v>
      </c>
      <c r="I40" s="36">
        <v>810</v>
      </c>
      <c r="J40" s="37">
        <f t="shared" si="3"/>
        <v>810</v>
      </c>
      <c r="K40" s="35">
        <v>1</v>
      </c>
      <c r="L40" s="36">
        <v>810</v>
      </c>
      <c r="M40" s="37">
        <f t="shared" si="2"/>
        <v>810</v>
      </c>
    </row>
    <row r="41" spans="1:13" x14ac:dyDescent="0.25">
      <c r="A41" s="21" t="s">
        <v>82</v>
      </c>
      <c r="B41" s="22" t="s">
        <v>83</v>
      </c>
      <c r="C41" s="22" t="s">
        <v>84</v>
      </c>
      <c r="D41" s="20" t="s">
        <v>76</v>
      </c>
      <c r="E41" s="17" t="s">
        <v>11</v>
      </c>
      <c r="F41" s="18" t="s">
        <v>15</v>
      </c>
      <c r="G41" s="19"/>
      <c r="H41" s="35">
        <v>1</v>
      </c>
      <c r="I41" s="36">
        <v>645</v>
      </c>
      <c r="J41" s="37">
        <f t="shared" si="3"/>
        <v>645</v>
      </c>
      <c r="K41" s="35">
        <v>1</v>
      </c>
      <c r="L41" s="36">
        <v>645</v>
      </c>
      <c r="M41" s="37">
        <f t="shared" si="2"/>
        <v>645</v>
      </c>
    </row>
    <row r="42" spans="1:13" x14ac:dyDescent="0.25">
      <c r="A42" s="21" t="s">
        <v>118</v>
      </c>
      <c r="B42" s="22" t="s">
        <v>24</v>
      </c>
      <c r="C42" s="22" t="s">
        <v>73</v>
      </c>
      <c r="D42" s="20" t="s">
        <v>76</v>
      </c>
      <c r="E42" s="17" t="s">
        <v>11</v>
      </c>
      <c r="F42" s="18" t="s">
        <v>12</v>
      </c>
      <c r="G42" s="19" t="s">
        <v>85</v>
      </c>
      <c r="H42" s="35">
        <v>1</v>
      </c>
      <c r="I42" s="36">
        <v>1110</v>
      </c>
      <c r="J42" s="37">
        <f t="shared" si="3"/>
        <v>1110</v>
      </c>
      <c r="K42" s="35">
        <v>1</v>
      </c>
      <c r="L42" s="36">
        <v>1110</v>
      </c>
      <c r="M42" s="37">
        <f t="shared" si="2"/>
        <v>1110</v>
      </c>
    </row>
    <row r="43" spans="1:13" x14ac:dyDescent="0.25">
      <c r="A43" s="21" t="s">
        <v>118</v>
      </c>
      <c r="B43" s="22" t="s">
        <v>24</v>
      </c>
      <c r="C43" s="22" t="s">
        <v>73</v>
      </c>
      <c r="D43" s="20" t="s">
        <v>76</v>
      </c>
      <c r="E43" s="17" t="s">
        <v>11</v>
      </c>
      <c r="F43" s="18" t="s">
        <v>12</v>
      </c>
      <c r="G43" s="19"/>
      <c r="H43" s="35">
        <v>7</v>
      </c>
      <c r="I43" s="36">
        <v>810</v>
      </c>
      <c r="J43" s="37">
        <f t="shared" si="3"/>
        <v>5670</v>
      </c>
      <c r="K43" s="35">
        <v>6</v>
      </c>
      <c r="L43" s="36">
        <v>810</v>
      </c>
      <c r="M43" s="37">
        <f t="shared" si="2"/>
        <v>4860</v>
      </c>
    </row>
    <row r="44" spans="1:13" x14ac:dyDescent="0.25">
      <c r="A44" s="21" t="s">
        <v>118</v>
      </c>
      <c r="B44" s="22" t="s">
        <v>24</v>
      </c>
      <c r="C44" s="22" t="s">
        <v>73</v>
      </c>
      <c r="D44" s="20" t="s">
        <v>76</v>
      </c>
      <c r="E44" s="17" t="s">
        <v>11</v>
      </c>
      <c r="F44" s="18" t="s">
        <v>12</v>
      </c>
      <c r="G44" s="19" t="s">
        <v>29</v>
      </c>
      <c r="H44" s="35">
        <v>2</v>
      </c>
      <c r="I44" s="36">
        <v>740</v>
      </c>
      <c r="J44" s="37">
        <f t="shared" si="3"/>
        <v>1480</v>
      </c>
      <c r="K44" s="35">
        <v>2</v>
      </c>
      <c r="L44" s="36">
        <v>740</v>
      </c>
      <c r="M44" s="37">
        <f t="shared" si="2"/>
        <v>1480</v>
      </c>
    </row>
    <row r="45" spans="1:13" x14ac:dyDescent="0.25">
      <c r="A45" s="21" t="s">
        <v>118</v>
      </c>
      <c r="B45" s="22" t="s">
        <v>24</v>
      </c>
      <c r="C45" s="22" t="s">
        <v>73</v>
      </c>
      <c r="D45" s="20" t="s">
        <v>76</v>
      </c>
      <c r="E45" s="17" t="s">
        <v>11</v>
      </c>
      <c r="F45" s="18" t="s">
        <v>32</v>
      </c>
      <c r="G45" s="19" t="s">
        <v>29</v>
      </c>
      <c r="H45" s="35">
        <v>1</v>
      </c>
      <c r="I45" s="36">
        <v>540</v>
      </c>
      <c r="J45" s="37">
        <f t="shared" si="3"/>
        <v>540</v>
      </c>
      <c r="K45" s="35">
        <v>1</v>
      </c>
      <c r="L45" s="36">
        <v>540</v>
      </c>
      <c r="M45" s="37">
        <f t="shared" si="2"/>
        <v>540</v>
      </c>
    </row>
    <row r="46" spans="1:13" x14ac:dyDescent="0.25">
      <c r="A46" s="21" t="s">
        <v>118</v>
      </c>
      <c r="B46" s="22" t="s">
        <v>24</v>
      </c>
      <c r="C46" s="22" t="s">
        <v>73</v>
      </c>
      <c r="D46" s="20" t="s">
        <v>76</v>
      </c>
      <c r="E46" s="17" t="s">
        <v>11</v>
      </c>
      <c r="F46" s="18" t="s">
        <v>35</v>
      </c>
      <c r="G46" s="19" t="s">
        <v>29</v>
      </c>
      <c r="H46" s="35">
        <v>1</v>
      </c>
      <c r="I46" s="36">
        <v>740</v>
      </c>
      <c r="J46" s="37">
        <f t="shared" si="3"/>
        <v>740</v>
      </c>
      <c r="K46" s="35">
        <v>1</v>
      </c>
      <c r="L46" s="36">
        <v>740</v>
      </c>
      <c r="M46" s="37">
        <f t="shared" si="2"/>
        <v>740</v>
      </c>
    </row>
    <row r="47" spans="1:13" x14ac:dyDescent="0.25">
      <c r="A47" s="21" t="s">
        <v>86</v>
      </c>
      <c r="B47" s="22" t="s">
        <v>24</v>
      </c>
      <c r="C47" s="22" t="s">
        <v>117</v>
      </c>
      <c r="D47" s="20" t="s">
        <v>76</v>
      </c>
      <c r="E47" s="17" t="s">
        <v>11</v>
      </c>
      <c r="F47" s="18" t="s">
        <v>12</v>
      </c>
      <c r="G47" s="19"/>
      <c r="H47" s="35">
        <v>1</v>
      </c>
      <c r="I47" s="36">
        <v>740</v>
      </c>
      <c r="J47" s="37">
        <f t="shared" si="3"/>
        <v>740</v>
      </c>
      <c r="K47" s="35">
        <v>1</v>
      </c>
      <c r="L47" s="36">
        <v>740</v>
      </c>
      <c r="M47" s="37">
        <f t="shared" si="2"/>
        <v>740</v>
      </c>
    </row>
    <row r="48" spans="1:13" x14ac:dyDescent="0.25">
      <c r="A48" s="21" t="s">
        <v>87</v>
      </c>
      <c r="B48" s="22" t="s">
        <v>20</v>
      </c>
      <c r="C48" s="22" t="s">
        <v>88</v>
      </c>
      <c r="D48" s="20" t="s">
        <v>76</v>
      </c>
      <c r="E48" s="17" t="s">
        <v>11</v>
      </c>
      <c r="F48" s="18" t="s">
        <v>15</v>
      </c>
      <c r="G48" s="19"/>
      <c r="H48" s="35">
        <v>1</v>
      </c>
      <c r="I48" s="36">
        <v>645</v>
      </c>
      <c r="J48" s="37">
        <f t="shared" si="3"/>
        <v>645</v>
      </c>
      <c r="K48" s="35">
        <v>1</v>
      </c>
      <c r="L48" s="36">
        <v>645</v>
      </c>
      <c r="M48" s="37">
        <f t="shared" si="2"/>
        <v>645</v>
      </c>
    </row>
    <row r="49" spans="1:13" x14ac:dyDescent="0.25">
      <c r="A49" s="21" t="s">
        <v>89</v>
      </c>
      <c r="B49" s="22" t="s">
        <v>20</v>
      </c>
      <c r="C49" s="22" t="s">
        <v>90</v>
      </c>
      <c r="D49" s="20" t="s">
        <v>76</v>
      </c>
      <c r="E49" s="17" t="s">
        <v>11</v>
      </c>
      <c r="F49" s="18" t="s">
        <v>12</v>
      </c>
      <c r="G49" s="19"/>
      <c r="H49" s="35">
        <v>2</v>
      </c>
      <c r="I49" s="36">
        <v>810</v>
      </c>
      <c r="J49" s="37">
        <f t="shared" si="3"/>
        <v>1620</v>
      </c>
      <c r="K49" s="35">
        <v>2</v>
      </c>
      <c r="L49" s="36">
        <v>810</v>
      </c>
      <c r="M49" s="37">
        <f t="shared" si="2"/>
        <v>1620</v>
      </c>
    </row>
    <row r="50" spans="1:13" x14ac:dyDescent="0.25">
      <c r="A50" s="21" t="s">
        <v>91</v>
      </c>
      <c r="B50" s="22" t="s">
        <v>8</v>
      </c>
      <c r="C50" s="22" t="s">
        <v>92</v>
      </c>
      <c r="D50" s="20" t="s">
        <v>76</v>
      </c>
      <c r="E50" s="17" t="s">
        <v>11</v>
      </c>
      <c r="F50" s="18" t="s">
        <v>12</v>
      </c>
      <c r="G50" s="19"/>
      <c r="H50" s="35">
        <v>1</v>
      </c>
      <c r="I50" s="36">
        <v>810</v>
      </c>
      <c r="J50" s="37">
        <f t="shared" si="3"/>
        <v>810</v>
      </c>
      <c r="K50" s="35">
        <v>1</v>
      </c>
      <c r="L50" s="36">
        <v>810</v>
      </c>
      <c r="M50" s="37">
        <f t="shared" si="2"/>
        <v>810</v>
      </c>
    </row>
    <row r="51" spans="1:13" x14ac:dyDescent="0.25">
      <c r="A51" s="21" t="s">
        <v>93</v>
      </c>
      <c r="B51" s="22" t="s">
        <v>8</v>
      </c>
      <c r="C51" s="22" t="s">
        <v>94</v>
      </c>
      <c r="D51" s="20" t="s">
        <v>76</v>
      </c>
      <c r="E51" s="17" t="s">
        <v>11</v>
      </c>
      <c r="F51" s="18" t="s">
        <v>12</v>
      </c>
      <c r="G51" s="19"/>
      <c r="H51" s="35">
        <v>2</v>
      </c>
      <c r="I51" s="36">
        <v>810</v>
      </c>
      <c r="J51" s="37">
        <f t="shared" si="3"/>
        <v>1620</v>
      </c>
      <c r="K51" s="35">
        <v>2</v>
      </c>
      <c r="L51" s="36">
        <v>810</v>
      </c>
      <c r="M51" s="37">
        <f t="shared" si="2"/>
        <v>1620</v>
      </c>
    </row>
    <row r="52" spans="1:13" x14ac:dyDescent="0.25">
      <c r="A52" s="21" t="s">
        <v>95</v>
      </c>
      <c r="B52" s="22" t="s">
        <v>8</v>
      </c>
      <c r="C52" s="22" t="s">
        <v>96</v>
      </c>
      <c r="D52" s="20" t="s">
        <v>76</v>
      </c>
      <c r="E52" s="17" t="s">
        <v>11</v>
      </c>
      <c r="F52" s="18" t="s">
        <v>12</v>
      </c>
      <c r="G52" s="19"/>
      <c r="H52" s="35">
        <v>5</v>
      </c>
      <c r="I52" s="36">
        <v>810</v>
      </c>
      <c r="J52" s="37">
        <f>H52*I52</f>
        <v>4050</v>
      </c>
      <c r="K52" s="35">
        <v>5</v>
      </c>
      <c r="L52" s="36">
        <v>810</v>
      </c>
      <c r="M52" s="37">
        <f>K52*L52</f>
        <v>4050</v>
      </c>
    </row>
    <row r="53" spans="1:13" x14ac:dyDescent="0.25">
      <c r="A53" s="21" t="s">
        <v>97</v>
      </c>
      <c r="B53" s="22" t="s">
        <v>98</v>
      </c>
      <c r="C53" s="22" t="s">
        <v>99</v>
      </c>
      <c r="D53" s="20" t="s">
        <v>76</v>
      </c>
      <c r="E53" s="17" t="s">
        <v>11</v>
      </c>
      <c r="F53" s="18" t="s">
        <v>12</v>
      </c>
      <c r="G53" s="19"/>
      <c r="H53" s="35">
        <v>3</v>
      </c>
      <c r="I53" s="36">
        <v>810</v>
      </c>
      <c r="J53" s="37">
        <f>H53*I53</f>
        <v>2430</v>
      </c>
      <c r="K53" s="35">
        <v>2</v>
      </c>
      <c r="L53" s="36">
        <v>810</v>
      </c>
      <c r="M53" s="37">
        <f>K53*L53</f>
        <v>1620</v>
      </c>
    </row>
    <row r="54" spans="1:13" x14ac:dyDescent="0.25">
      <c r="A54" s="21" t="s">
        <v>100</v>
      </c>
      <c r="B54" s="22" t="s">
        <v>20</v>
      </c>
      <c r="C54" s="22" t="s">
        <v>101</v>
      </c>
      <c r="D54" s="20" t="s">
        <v>76</v>
      </c>
      <c r="E54" s="17" t="s">
        <v>11</v>
      </c>
      <c r="F54" s="18" t="s">
        <v>12</v>
      </c>
      <c r="G54" s="19"/>
      <c r="H54" s="35">
        <v>1</v>
      </c>
      <c r="I54" s="36">
        <v>810</v>
      </c>
      <c r="J54" s="37">
        <f>H54*I54</f>
        <v>810</v>
      </c>
      <c r="K54" s="35">
        <v>1</v>
      </c>
      <c r="L54" s="36">
        <v>810</v>
      </c>
      <c r="M54" s="37">
        <f>K54*L54</f>
        <v>810</v>
      </c>
    </row>
    <row r="55" spans="1:13" x14ac:dyDescent="0.25">
      <c r="A55" s="21" t="s">
        <v>70</v>
      </c>
      <c r="B55" s="22" t="s">
        <v>20</v>
      </c>
      <c r="C55" s="22" t="s">
        <v>71</v>
      </c>
      <c r="D55" s="20" t="s">
        <v>76</v>
      </c>
      <c r="E55" s="17" t="s">
        <v>11</v>
      </c>
      <c r="F55" s="18" t="s">
        <v>12</v>
      </c>
      <c r="G55" s="19"/>
      <c r="H55" s="35">
        <v>1</v>
      </c>
      <c r="I55" s="36">
        <v>810</v>
      </c>
      <c r="J55" s="37">
        <f>H55*I55</f>
        <v>810</v>
      </c>
      <c r="K55" s="35">
        <v>1</v>
      </c>
      <c r="L55" s="36">
        <v>810</v>
      </c>
      <c r="M55" s="37">
        <f>K55*L55</f>
        <v>810</v>
      </c>
    </row>
    <row r="56" spans="1:13" x14ac:dyDescent="0.25">
      <c r="A56" s="21" t="s">
        <v>102</v>
      </c>
      <c r="B56" s="22" t="s">
        <v>206</v>
      </c>
      <c r="C56" s="22" t="s">
        <v>207</v>
      </c>
      <c r="D56" s="20" t="s">
        <v>76</v>
      </c>
      <c r="E56" s="17" t="s">
        <v>11</v>
      </c>
      <c r="F56" s="18" t="s">
        <v>12</v>
      </c>
      <c r="G56" s="19"/>
      <c r="H56" s="35">
        <v>2</v>
      </c>
      <c r="I56" s="36">
        <v>810</v>
      </c>
      <c r="J56" s="37">
        <f t="shared" ref="J56:J61" si="4">H56*I56</f>
        <v>1620</v>
      </c>
      <c r="K56" s="35">
        <v>2</v>
      </c>
      <c r="L56" s="36">
        <v>810</v>
      </c>
      <c r="M56" s="37">
        <f t="shared" ref="M56:M61" si="5">K56*L56</f>
        <v>1620</v>
      </c>
    </row>
    <row r="57" spans="1:13" x14ac:dyDescent="0.25">
      <c r="A57" s="21" t="s">
        <v>104</v>
      </c>
      <c r="B57" s="22" t="s">
        <v>206</v>
      </c>
      <c r="C57" s="22" t="s">
        <v>105</v>
      </c>
      <c r="D57" s="20" t="s">
        <v>76</v>
      </c>
      <c r="E57" s="17" t="s">
        <v>11</v>
      </c>
      <c r="F57" s="18" t="s">
        <v>15</v>
      </c>
      <c r="G57" s="19"/>
      <c r="H57" s="35">
        <v>1</v>
      </c>
      <c r="I57" s="36">
        <v>645</v>
      </c>
      <c r="J57" s="37">
        <f t="shared" si="4"/>
        <v>645</v>
      </c>
      <c r="K57" s="35">
        <v>3</v>
      </c>
      <c r="L57" s="36">
        <v>645</v>
      </c>
      <c r="M57" s="37">
        <f t="shared" si="5"/>
        <v>1935</v>
      </c>
    </row>
    <row r="58" spans="1:13" x14ac:dyDescent="0.25">
      <c r="A58" s="21" t="s">
        <v>106</v>
      </c>
      <c r="B58" s="22" t="s">
        <v>206</v>
      </c>
      <c r="C58" s="22" t="s">
        <v>107</v>
      </c>
      <c r="D58" s="20" t="s">
        <v>76</v>
      </c>
      <c r="E58" s="17" t="s">
        <v>11</v>
      </c>
      <c r="F58" s="18" t="s">
        <v>12</v>
      </c>
      <c r="G58" s="19"/>
      <c r="H58" s="35">
        <v>1</v>
      </c>
      <c r="I58" s="36">
        <v>810</v>
      </c>
      <c r="J58" s="37">
        <f t="shared" si="4"/>
        <v>810</v>
      </c>
      <c r="K58" s="35">
        <v>1</v>
      </c>
      <c r="L58" s="36">
        <v>810</v>
      </c>
      <c r="M58" s="37">
        <f t="shared" si="5"/>
        <v>810</v>
      </c>
    </row>
    <row r="59" spans="1:13" x14ac:dyDescent="0.25">
      <c r="A59" s="8" t="s">
        <v>7</v>
      </c>
      <c r="B59" s="9" t="s">
        <v>8</v>
      </c>
      <c r="C59" s="9" t="s">
        <v>9</v>
      </c>
      <c r="D59" s="20" t="s">
        <v>76</v>
      </c>
      <c r="E59" s="17" t="s">
        <v>11</v>
      </c>
      <c r="F59" s="18" t="s">
        <v>12</v>
      </c>
      <c r="G59" s="19"/>
      <c r="H59" s="35">
        <v>3</v>
      </c>
      <c r="I59" s="36">
        <v>810</v>
      </c>
      <c r="J59" s="37">
        <f t="shared" si="4"/>
        <v>2430</v>
      </c>
      <c r="K59" s="35">
        <v>3</v>
      </c>
      <c r="L59" s="36">
        <v>810</v>
      </c>
      <c r="M59" s="37">
        <f t="shared" si="5"/>
        <v>2430</v>
      </c>
    </row>
    <row r="60" spans="1:13" x14ac:dyDescent="0.25">
      <c r="A60" s="21" t="s">
        <v>108</v>
      </c>
      <c r="B60" s="22" t="s">
        <v>8</v>
      </c>
      <c r="C60" s="22" t="s">
        <v>109</v>
      </c>
      <c r="D60" s="20" t="s">
        <v>76</v>
      </c>
      <c r="E60" s="17" t="s">
        <v>11</v>
      </c>
      <c r="F60" s="18" t="s">
        <v>12</v>
      </c>
      <c r="G60" s="19"/>
      <c r="H60" s="35">
        <v>2</v>
      </c>
      <c r="I60" s="36">
        <v>810</v>
      </c>
      <c r="J60" s="37">
        <f t="shared" si="4"/>
        <v>1620</v>
      </c>
      <c r="K60" s="35">
        <v>2</v>
      </c>
      <c r="L60" s="36">
        <v>810</v>
      </c>
      <c r="M60" s="37">
        <f t="shared" si="5"/>
        <v>1620</v>
      </c>
    </row>
    <row r="61" spans="1:13" ht="15.75" thickBot="1" x14ac:dyDescent="0.3">
      <c r="A61" s="23" t="s">
        <v>110</v>
      </c>
      <c r="B61" s="24" t="s">
        <v>30</v>
      </c>
      <c r="C61" s="24" t="s">
        <v>111</v>
      </c>
      <c r="D61" s="25" t="s">
        <v>76</v>
      </c>
      <c r="E61" s="26" t="s">
        <v>11</v>
      </c>
      <c r="F61" s="27" t="s">
        <v>12</v>
      </c>
      <c r="G61" s="28"/>
      <c r="H61" s="38">
        <v>2</v>
      </c>
      <c r="I61" s="39">
        <v>810</v>
      </c>
      <c r="J61" s="40">
        <f t="shared" si="4"/>
        <v>1620</v>
      </c>
      <c r="K61" s="38">
        <v>2</v>
      </c>
      <c r="L61" s="39">
        <v>810</v>
      </c>
      <c r="M61" s="40">
        <f t="shared" si="5"/>
        <v>1620</v>
      </c>
    </row>
    <row r="62" spans="1:13" ht="15.75" thickBot="1" x14ac:dyDescent="0.3">
      <c r="H62" s="41" t="str">
        <f>SUM(H3:H61)&amp;" Guards"</f>
        <v>114 Guards</v>
      </c>
      <c r="I62" s="42"/>
      <c r="J62" s="43">
        <f>SUM(J3:J61)</f>
        <v>85485</v>
      </c>
      <c r="K62" s="41" t="str">
        <f>SUM(K3:K61)&amp;" Guards"</f>
        <v>114 Guards</v>
      </c>
      <c r="L62" s="42"/>
      <c r="M62" s="43">
        <f>SUM(M3:M61)</f>
        <v>85155</v>
      </c>
    </row>
  </sheetData>
  <autoFilter ref="A2:J62" xr:uid="{00000000-0001-0000-0000-000000000000}"/>
  <mergeCells count="3">
    <mergeCell ref="A1:G1"/>
    <mergeCell ref="H1:J1"/>
    <mergeCell ref="K1:M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B3FC-35B2-4C04-8396-680E97CF0173}">
  <sheetPr>
    <tabColor rgb="FFFFFF00"/>
  </sheetPr>
  <dimension ref="A1:M17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E15" sqref="E15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20.7109375" bestFit="1" customWidth="1"/>
    <col min="4" max="4" width="11.42578125" bestFit="1" customWidth="1"/>
    <col min="5" max="5" width="5.7109375" bestFit="1" customWidth="1"/>
    <col min="6" max="6" width="6.42578125" bestFit="1" customWidth="1"/>
    <col min="7" max="7" width="9.28515625" bestFit="1" customWidth="1"/>
    <col min="8" max="8" width="8.28515625" bestFit="1" customWidth="1"/>
    <col min="9" max="9" width="7.28515625" bestFit="1" customWidth="1"/>
    <col min="10" max="10" width="10.7109375" bestFit="1" customWidth="1"/>
    <col min="13" max="13" width="10.7109375" bestFit="1" customWidth="1"/>
  </cols>
  <sheetData>
    <row r="1" spans="1:13" ht="18.75" x14ac:dyDescent="0.25">
      <c r="A1" s="103"/>
      <c r="B1" s="104"/>
      <c r="C1" s="104"/>
      <c r="D1" s="104"/>
      <c r="E1" s="104"/>
      <c r="F1" s="104"/>
      <c r="G1" s="105"/>
      <c r="H1" s="106" t="s">
        <v>115</v>
      </c>
      <c r="I1" s="107"/>
      <c r="J1" s="108"/>
      <c r="K1" s="106" t="s">
        <v>208</v>
      </c>
      <c r="L1" s="107"/>
      <c r="M1" s="108"/>
    </row>
    <row r="2" spans="1:13" ht="16.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4" t="s">
        <v>6</v>
      </c>
      <c r="H2" s="45" t="s">
        <v>112</v>
      </c>
      <c r="I2" s="46" t="s">
        <v>113</v>
      </c>
      <c r="J2" s="47" t="s">
        <v>114</v>
      </c>
      <c r="K2" s="45" t="s">
        <v>112</v>
      </c>
      <c r="L2" s="46" t="s">
        <v>113</v>
      </c>
      <c r="M2" s="47" t="s">
        <v>114</v>
      </c>
    </row>
    <row r="3" spans="1:13" x14ac:dyDescent="0.25">
      <c r="A3" s="8" t="s">
        <v>50</v>
      </c>
      <c r="B3" s="9" t="s">
        <v>20</v>
      </c>
      <c r="C3" s="9" t="s">
        <v>68</v>
      </c>
      <c r="D3" s="20" t="s">
        <v>209</v>
      </c>
      <c r="E3" s="17" t="s">
        <v>23</v>
      </c>
      <c r="F3" s="18" t="s">
        <v>12</v>
      </c>
      <c r="G3" s="96"/>
      <c r="H3" s="48">
        <v>0</v>
      </c>
      <c r="I3" s="49">
        <v>0</v>
      </c>
      <c r="J3" s="50">
        <f t="shared" ref="J3:J9" si="0">H3*I3</f>
        <v>0</v>
      </c>
      <c r="K3" s="98">
        <v>1</v>
      </c>
      <c r="L3" s="49">
        <v>700</v>
      </c>
      <c r="M3" s="50">
        <f t="shared" ref="M3:M9" si="1">K3*L3</f>
        <v>700</v>
      </c>
    </row>
    <row r="4" spans="1:13" x14ac:dyDescent="0.25">
      <c r="A4" s="8" t="s">
        <v>70</v>
      </c>
      <c r="B4" s="9" t="s">
        <v>20</v>
      </c>
      <c r="C4" s="9" t="s">
        <v>71</v>
      </c>
      <c r="D4" s="20" t="s">
        <v>209</v>
      </c>
      <c r="E4" s="17" t="s">
        <v>23</v>
      </c>
      <c r="F4" s="18" t="s">
        <v>15</v>
      </c>
      <c r="G4" s="96"/>
      <c r="H4" s="35">
        <v>0</v>
      </c>
      <c r="I4" s="36">
        <v>0</v>
      </c>
      <c r="J4" s="33">
        <f t="shared" si="0"/>
        <v>0</v>
      </c>
      <c r="K4" s="97">
        <v>1</v>
      </c>
      <c r="L4" s="36">
        <v>600</v>
      </c>
      <c r="M4" s="33">
        <f t="shared" si="1"/>
        <v>600</v>
      </c>
    </row>
    <row r="5" spans="1:13" x14ac:dyDescent="0.25">
      <c r="A5" s="8" t="s">
        <v>97</v>
      </c>
      <c r="B5" s="9" t="s">
        <v>98</v>
      </c>
      <c r="C5" s="9" t="s">
        <v>99</v>
      </c>
      <c r="D5" s="115" t="s">
        <v>216</v>
      </c>
      <c r="E5" s="17" t="s">
        <v>23</v>
      </c>
      <c r="F5" s="18" t="s">
        <v>12</v>
      </c>
      <c r="G5" s="96"/>
      <c r="H5" s="35">
        <v>1</v>
      </c>
      <c r="I5" s="36">
        <v>600</v>
      </c>
      <c r="J5" s="33">
        <f t="shared" si="0"/>
        <v>600</v>
      </c>
      <c r="K5" s="18">
        <v>1</v>
      </c>
      <c r="L5" s="36">
        <v>600</v>
      </c>
      <c r="M5" s="33">
        <f t="shared" si="1"/>
        <v>600</v>
      </c>
    </row>
    <row r="6" spans="1:13" x14ac:dyDescent="0.25">
      <c r="A6" s="8" t="s">
        <v>50</v>
      </c>
      <c r="B6" s="9" t="s">
        <v>20</v>
      </c>
      <c r="C6" s="9" t="s">
        <v>68</v>
      </c>
      <c r="D6" s="16" t="s">
        <v>69</v>
      </c>
      <c r="E6" s="17" t="s">
        <v>23</v>
      </c>
      <c r="F6" s="18" t="s">
        <v>12</v>
      </c>
      <c r="G6" s="19"/>
      <c r="H6" s="31">
        <v>1</v>
      </c>
      <c r="I6" s="32">
        <v>800</v>
      </c>
      <c r="J6" s="33">
        <f t="shared" si="0"/>
        <v>800</v>
      </c>
      <c r="K6" s="31">
        <v>0</v>
      </c>
      <c r="L6" s="32">
        <v>800</v>
      </c>
      <c r="M6" s="33">
        <f t="shared" si="1"/>
        <v>0</v>
      </c>
    </row>
    <row r="7" spans="1:13" x14ac:dyDescent="0.25">
      <c r="A7" s="8" t="s">
        <v>70</v>
      </c>
      <c r="B7" s="9" t="s">
        <v>20</v>
      </c>
      <c r="C7" s="9" t="s">
        <v>71</v>
      </c>
      <c r="D7" s="16" t="s">
        <v>69</v>
      </c>
      <c r="E7" s="17" t="s">
        <v>23</v>
      </c>
      <c r="F7" s="18" t="s">
        <v>15</v>
      </c>
      <c r="G7" s="19"/>
      <c r="H7" s="35">
        <v>1</v>
      </c>
      <c r="I7" s="36">
        <v>700</v>
      </c>
      <c r="J7" s="37">
        <f t="shared" si="0"/>
        <v>700</v>
      </c>
      <c r="K7" s="35">
        <v>0</v>
      </c>
      <c r="L7" s="36">
        <v>700</v>
      </c>
      <c r="M7" s="37">
        <f t="shared" si="1"/>
        <v>0</v>
      </c>
    </row>
    <row r="8" spans="1:13" x14ac:dyDescent="0.25">
      <c r="A8" s="8" t="s">
        <v>72</v>
      </c>
      <c r="B8" s="9" t="s">
        <v>8</v>
      </c>
      <c r="C8" s="9" t="s">
        <v>64</v>
      </c>
      <c r="D8" s="16" t="s">
        <v>69</v>
      </c>
      <c r="E8" s="17" t="s">
        <v>23</v>
      </c>
      <c r="F8" s="18" t="s">
        <v>15</v>
      </c>
      <c r="G8" s="19"/>
      <c r="H8" s="35">
        <v>1</v>
      </c>
      <c r="I8" s="36">
        <v>700</v>
      </c>
      <c r="J8" s="37">
        <f t="shared" si="0"/>
        <v>700</v>
      </c>
      <c r="K8" s="35">
        <v>1</v>
      </c>
      <c r="L8" s="36">
        <v>700</v>
      </c>
      <c r="M8" s="37">
        <f t="shared" si="1"/>
        <v>700</v>
      </c>
    </row>
    <row r="9" spans="1:13" ht="15.75" thickBot="1" x14ac:dyDescent="0.3">
      <c r="A9" s="23" t="s">
        <v>118</v>
      </c>
      <c r="B9" s="24" t="s">
        <v>24</v>
      </c>
      <c r="C9" s="24" t="s">
        <v>73</v>
      </c>
      <c r="D9" s="44" t="s">
        <v>69</v>
      </c>
      <c r="E9" s="26" t="s">
        <v>23</v>
      </c>
      <c r="F9" s="27" t="s">
        <v>12</v>
      </c>
      <c r="G9" s="28" t="s">
        <v>29</v>
      </c>
      <c r="H9" s="38">
        <v>1</v>
      </c>
      <c r="I9" s="39">
        <v>590</v>
      </c>
      <c r="J9" s="40">
        <f t="shared" si="0"/>
        <v>590</v>
      </c>
      <c r="K9" s="38">
        <v>1</v>
      </c>
      <c r="L9" s="39">
        <v>590</v>
      </c>
      <c r="M9" s="40">
        <f t="shared" si="1"/>
        <v>590</v>
      </c>
    </row>
    <row r="10" spans="1:13" ht="15.75" thickBot="1" x14ac:dyDescent="0.3">
      <c r="H10" s="94" t="str">
        <f>SUM(H3:H9)&amp;" Agents"</f>
        <v>5 Agents</v>
      </c>
      <c r="J10" s="93">
        <f>SUM(J6:J9)</f>
        <v>2790</v>
      </c>
      <c r="K10" s="94" t="str">
        <f>SUM(K3:K9)&amp;" Agents"</f>
        <v>5 Agents</v>
      </c>
      <c r="M10" s="93">
        <f>SUM(M3:M9)</f>
        <v>3190</v>
      </c>
    </row>
    <row r="17" spans="7:7" x14ac:dyDescent="0.25">
      <c r="G17" t="s">
        <v>210</v>
      </c>
    </row>
  </sheetData>
  <mergeCells count="3">
    <mergeCell ref="A1:G1"/>
    <mergeCell ref="H1:J1"/>
    <mergeCell ref="K1:M1"/>
  </mergeCells>
  <phoneticPr fontId="5" type="noConversion"/>
  <conditionalFormatting sqref="A3:I9">
    <cfRule type="expression" dxfId="27" priority="1">
      <formula>CELL("row")=ROW()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9AD7-EC43-4A0B-86E4-5BD8C7CB9B8C}">
  <sheetPr>
    <tabColor rgb="FF00B0F0"/>
    <pageSetUpPr fitToPage="1"/>
  </sheetPr>
  <dimension ref="A1:Q79"/>
  <sheetViews>
    <sheetView workbookViewId="0">
      <pane xSplit="6" ySplit="2" topLeftCell="H50" activePane="bottomRight" state="frozen"/>
      <selection pane="topRight" activeCell="G1" sqref="G1"/>
      <selection pane="bottomLeft" activeCell="A3" sqref="A3"/>
      <selection pane="bottomRight" activeCell="E78" sqref="E78"/>
    </sheetView>
  </sheetViews>
  <sheetFormatPr defaultColWidth="23.5703125" defaultRowHeight="15" x14ac:dyDescent="0.25"/>
  <cols>
    <col min="1" max="1" width="20.7109375" bestFit="1" customWidth="1"/>
    <col min="2" max="2" width="11.42578125" bestFit="1" customWidth="1"/>
    <col min="3" max="3" width="34.28515625" bestFit="1" customWidth="1"/>
    <col min="4" max="4" width="14.7109375" bestFit="1" customWidth="1"/>
    <col min="5" max="5" width="9.85546875" bestFit="1" customWidth="1"/>
    <col min="6" max="6" width="25.140625" style="76" bestFit="1" customWidth="1"/>
    <col min="7" max="7" width="22.28515625" style="76" bestFit="1" customWidth="1"/>
    <col min="8" max="8" width="23.7109375" style="76" bestFit="1" customWidth="1"/>
    <col min="9" max="9" width="17" bestFit="1" customWidth="1"/>
    <col min="10" max="10" width="13" bestFit="1" customWidth="1"/>
    <col min="11" max="11" width="16.7109375" bestFit="1" customWidth="1"/>
    <col min="12" max="12" width="17" bestFit="1" customWidth="1"/>
    <col min="13" max="13" width="8.42578125" bestFit="1" customWidth="1"/>
    <col min="14" max="14" width="12.140625" bestFit="1" customWidth="1"/>
    <col min="15" max="15" width="17" bestFit="1" customWidth="1"/>
    <col min="16" max="16" width="8.42578125" bestFit="1" customWidth="1"/>
    <col min="17" max="17" width="12.140625" bestFit="1" customWidth="1"/>
  </cols>
  <sheetData>
    <row r="1" spans="1:17" ht="19.5" thickBot="1" x14ac:dyDescent="0.3">
      <c r="A1" s="112"/>
      <c r="B1" s="113"/>
      <c r="C1" s="113"/>
      <c r="D1" s="113"/>
      <c r="E1" s="113"/>
      <c r="F1" s="113"/>
      <c r="G1" s="113"/>
      <c r="H1" s="114"/>
      <c r="I1" s="109" t="s">
        <v>115</v>
      </c>
      <c r="J1" s="110"/>
      <c r="K1" s="111"/>
      <c r="L1" s="109" t="s">
        <v>208</v>
      </c>
      <c r="M1" s="110"/>
      <c r="N1" s="111"/>
      <c r="O1" s="109" t="s">
        <v>213</v>
      </c>
      <c r="P1" s="110"/>
      <c r="Q1" s="111"/>
    </row>
    <row r="2" spans="1:17" ht="32.25" thickBot="1" x14ac:dyDescent="0.3">
      <c r="A2" s="51" t="s">
        <v>0</v>
      </c>
      <c r="B2" s="52" t="s">
        <v>1</v>
      </c>
      <c r="C2" s="53" t="s">
        <v>2</v>
      </c>
      <c r="D2" s="53" t="s">
        <v>3</v>
      </c>
      <c r="E2" s="53" t="s">
        <v>4</v>
      </c>
      <c r="F2" s="54" t="s">
        <v>119</v>
      </c>
      <c r="G2" s="53" t="s">
        <v>120</v>
      </c>
      <c r="H2" s="83" t="s">
        <v>121</v>
      </c>
      <c r="I2" s="55" t="s">
        <v>112</v>
      </c>
      <c r="J2" s="56" t="s">
        <v>113</v>
      </c>
      <c r="K2" s="57" t="s">
        <v>114</v>
      </c>
      <c r="L2" s="55" t="s">
        <v>112</v>
      </c>
      <c r="M2" s="56" t="s">
        <v>113</v>
      </c>
      <c r="N2" s="57" t="s">
        <v>114</v>
      </c>
      <c r="O2" s="55" t="s">
        <v>112</v>
      </c>
      <c r="P2" s="56" t="s">
        <v>113</v>
      </c>
      <c r="Q2" s="57" t="s">
        <v>114</v>
      </c>
    </row>
    <row r="3" spans="1:17" x14ac:dyDescent="0.25">
      <c r="A3" s="6" t="s">
        <v>16</v>
      </c>
      <c r="B3" s="7" t="s">
        <v>8</v>
      </c>
      <c r="C3" s="58" t="s">
        <v>122</v>
      </c>
      <c r="D3" s="59" t="s">
        <v>123</v>
      </c>
      <c r="E3" s="58" t="s">
        <v>124</v>
      </c>
      <c r="F3" s="60">
        <v>9</v>
      </c>
      <c r="G3" s="60" t="s">
        <v>125</v>
      </c>
      <c r="H3" s="84"/>
      <c r="I3" s="29">
        <v>9</v>
      </c>
      <c r="J3" s="30">
        <v>460</v>
      </c>
      <c r="K3" s="61">
        <f t="shared" ref="K3:K20" si="0">J3*I3</f>
        <v>4140</v>
      </c>
      <c r="L3" s="29">
        <v>9</v>
      </c>
      <c r="M3" s="30">
        <v>460</v>
      </c>
      <c r="N3" s="61">
        <f t="shared" ref="N3:N20" si="1">M3*L3</f>
        <v>4140</v>
      </c>
      <c r="O3" s="29">
        <v>9</v>
      </c>
      <c r="P3" s="30">
        <v>460</v>
      </c>
      <c r="Q3" s="61">
        <f t="shared" ref="Q3:Q20" si="2">P3*O3</f>
        <v>4140</v>
      </c>
    </row>
    <row r="4" spans="1:17" x14ac:dyDescent="0.25">
      <c r="A4" s="8" t="s">
        <v>126</v>
      </c>
      <c r="B4" s="9" t="s">
        <v>8</v>
      </c>
      <c r="C4" s="9" t="s">
        <v>127</v>
      </c>
      <c r="D4" s="62" t="s">
        <v>123</v>
      </c>
      <c r="E4" s="9" t="s">
        <v>124</v>
      </c>
      <c r="F4" s="63">
        <v>9</v>
      </c>
      <c r="G4" s="63" t="s">
        <v>125</v>
      </c>
      <c r="H4" s="85"/>
      <c r="I4" s="31">
        <v>7</v>
      </c>
      <c r="J4" s="32">
        <v>460</v>
      </c>
      <c r="K4" s="64">
        <f t="shared" si="0"/>
        <v>3220</v>
      </c>
      <c r="L4" s="31">
        <v>7</v>
      </c>
      <c r="M4" s="32">
        <v>460</v>
      </c>
      <c r="N4" s="64">
        <f t="shared" si="1"/>
        <v>3220</v>
      </c>
      <c r="O4" s="31">
        <v>7</v>
      </c>
      <c r="P4" s="32">
        <v>460</v>
      </c>
      <c r="Q4" s="64">
        <f t="shared" si="2"/>
        <v>3220</v>
      </c>
    </row>
    <row r="5" spans="1:17" x14ac:dyDescent="0.25">
      <c r="A5" s="8" t="s">
        <v>18</v>
      </c>
      <c r="B5" s="9" t="s">
        <v>8</v>
      </c>
      <c r="C5" s="9" t="s">
        <v>19</v>
      </c>
      <c r="D5" s="62" t="s">
        <v>123</v>
      </c>
      <c r="E5" s="9" t="s">
        <v>124</v>
      </c>
      <c r="F5" s="63">
        <v>9</v>
      </c>
      <c r="G5" s="63" t="s">
        <v>125</v>
      </c>
      <c r="H5" s="85"/>
      <c r="I5" s="31">
        <v>3.5</v>
      </c>
      <c r="J5" s="32">
        <v>460</v>
      </c>
      <c r="K5" s="64">
        <f t="shared" si="0"/>
        <v>1610</v>
      </c>
      <c r="L5" s="31">
        <v>3.5</v>
      </c>
      <c r="M5" s="32">
        <v>460</v>
      </c>
      <c r="N5" s="64">
        <f t="shared" si="1"/>
        <v>1610</v>
      </c>
      <c r="O5" s="31">
        <v>3.5</v>
      </c>
      <c r="P5" s="32">
        <v>460</v>
      </c>
      <c r="Q5" s="64">
        <f t="shared" si="2"/>
        <v>1610</v>
      </c>
    </row>
    <row r="6" spans="1:17" x14ac:dyDescent="0.25">
      <c r="A6" s="8" t="s">
        <v>128</v>
      </c>
      <c r="B6" s="9" t="s">
        <v>8</v>
      </c>
      <c r="C6" s="9" t="s">
        <v>129</v>
      </c>
      <c r="D6" s="62" t="s">
        <v>123</v>
      </c>
      <c r="E6" s="9" t="s">
        <v>124</v>
      </c>
      <c r="F6" s="63">
        <v>9</v>
      </c>
      <c r="G6" s="63" t="s">
        <v>125</v>
      </c>
      <c r="H6" s="85"/>
      <c r="I6" s="31">
        <v>14</v>
      </c>
      <c r="J6" s="32">
        <v>460</v>
      </c>
      <c r="K6" s="64">
        <f t="shared" si="0"/>
        <v>6440</v>
      </c>
      <c r="L6" s="31">
        <v>14</v>
      </c>
      <c r="M6" s="32">
        <v>460</v>
      </c>
      <c r="N6" s="64">
        <f t="shared" si="1"/>
        <v>6440</v>
      </c>
      <c r="O6" s="31">
        <v>14</v>
      </c>
      <c r="P6" s="32">
        <v>460</v>
      </c>
      <c r="Q6" s="64">
        <f t="shared" si="2"/>
        <v>6440</v>
      </c>
    </row>
    <row r="7" spans="1:17" x14ac:dyDescent="0.25">
      <c r="A7" s="8" t="s">
        <v>25</v>
      </c>
      <c r="B7" s="9" t="s">
        <v>8</v>
      </c>
      <c r="C7" s="9" t="s">
        <v>130</v>
      </c>
      <c r="D7" s="62" t="s">
        <v>123</v>
      </c>
      <c r="E7" s="9" t="s">
        <v>124</v>
      </c>
      <c r="F7" s="63">
        <v>9</v>
      </c>
      <c r="G7" s="63" t="s">
        <v>125</v>
      </c>
      <c r="H7" s="85"/>
      <c r="I7" s="31">
        <v>3</v>
      </c>
      <c r="J7" s="32">
        <v>460</v>
      </c>
      <c r="K7" s="64">
        <f t="shared" si="0"/>
        <v>1380</v>
      </c>
      <c r="L7" s="31">
        <v>3</v>
      </c>
      <c r="M7" s="32">
        <v>460</v>
      </c>
      <c r="N7" s="64">
        <f t="shared" si="1"/>
        <v>1380</v>
      </c>
      <c r="O7" s="31">
        <v>3</v>
      </c>
      <c r="P7" s="32">
        <v>460</v>
      </c>
      <c r="Q7" s="64">
        <f t="shared" si="2"/>
        <v>1380</v>
      </c>
    </row>
    <row r="8" spans="1:17" x14ac:dyDescent="0.25">
      <c r="A8" s="8" t="s">
        <v>44</v>
      </c>
      <c r="B8" s="9" t="s">
        <v>8</v>
      </c>
      <c r="C8" s="9" t="s">
        <v>45</v>
      </c>
      <c r="D8" s="62" t="s">
        <v>123</v>
      </c>
      <c r="E8" s="9" t="s">
        <v>124</v>
      </c>
      <c r="F8" s="63">
        <v>9</v>
      </c>
      <c r="G8" s="63" t="s">
        <v>125</v>
      </c>
      <c r="H8" s="85"/>
      <c r="I8" s="31">
        <v>7</v>
      </c>
      <c r="J8" s="32">
        <v>460</v>
      </c>
      <c r="K8" s="64">
        <f t="shared" si="0"/>
        <v>3220</v>
      </c>
      <c r="L8" s="31">
        <v>7</v>
      </c>
      <c r="M8" s="32">
        <v>460</v>
      </c>
      <c r="N8" s="64">
        <f t="shared" si="1"/>
        <v>3220</v>
      </c>
      <c r="O8" s="31">
        <v>7</v>
      </c>
      <c r="P8" s="32">
        <v>460</v>
      </c>
      <c r="Q8" s="64">
        <f t="shared" si="2"/>
        <v>3220</v>
      </c>
    </row>
    <row r="9" spans="1:17" x14ac:dyDescent="0.25">
      <c r="A9" s="8" t="s">
        <v>52</v>
      </c>
      <c r="B9" s="9" t="s">
        <v>8</v>
      </c>
      <c r="C9" s="9" t="s">
        <v>131</v>
      </c>
      <c r="D9" s="62" t="s">
        <v>123</v>
      </c>
      <c r="E9" s="9" t="s">
        <v>124</v>
      </c>
      <c r="F9" s="63">
        <v>9</v>
      </c>
      <c r="G9" s="63" t="s">
        <v>125</v>
      </c>
      <c r="H9" s="85"/>
      <c r="I9" s="31">
        <v>6</v>
      </c>
      <c r="J9" s="32">
        <v>460</v>
      </c>
      <c r="K9" s="64">
        <f t="shared" si="0"/>
        <v>2760</v>
      </c>
      <c r="L9" s="31">
        <v>6</v>
      </c>
      <c r="M9" s="32">
        <v>460</v>
      </c>
      <c r="N9" s="64">
        <f t="shared" si="1"/>
        <v>2760</v>
      </c>
      <c r="O9" s="31">
        <v>6</v>
      </c>
      <c r="P9" s="32">
        <v>460</v>
      </c>
      <c r="Q9" s="64">
        <f t="shared" si="2"/>
        <v>2760</v>
      </c>
    </row>
    <row r="10" spans="1:17" x14ac:dyDescent="0.25">
      <c r="A10" s="8" t="s">
        <v>132</v>
      </c>
      <c r="B10" s="9" t="s">
        <v>8</v>
      </c>
      <c r="C10" s="9" t="s">
        <v>133</v>
      </c>
      <c r="D10" s="62" t="s">
        <v>123</v>
      </c>
      <c r="E10" s="9" t="s">
        <v>124</v>
      </c>
      <c r="F10" s="63">
        <v>9</v>
      </c>
      <c r="G10" s="63" t="s">
        <v>125</v>
      </c>
      <c r="H10" s="85"/>
      <c r="I10" s="31">
        <v>6</v>
      </c>
      <c r="J10" s="32">
        <v>460</v>
      </c>
      <c r="K10" s="64">
        <f t="shared" si="0"/>
        <v>2760</v>
      </c>
      <c r="L10" s="31">
        <v>6</v>
      </c>
      <c r="M10" s="32">
        <v>460</v>
      </c>
      <c r="N10" s="64">
        <f t="shared" si="1"/>
        <v>2760</v>
      </c>
      <c r="O10" s="31">
        <v>6</v>
      </c>
      <c r="P10" s="32">
        <v>460</v>
      </c>
      <c r="Q10" s="64">
        <f t="shared" si="2"/>
        <v>2760</v>
      </c>
    </row>
    <row r="11" spans="1:17" x14ac:dyDescent="0.25">
      <c r="A11" s="8" t="s">
        <v>48</v>
      </c>
      <c r="B11" s="9" t="s">
        <v>8</v>
      </c>
      <c r="C11" s="9" t="s">
        <v>134</v>
      </c>
      <c r="D11" s="62" t="s">
        <v>123</v>
      </c>
      <c r="E11" s="9" t="s">
        <v>124</v>
      </c>
      <c r="F11" s="63">
        <v>9</v>
      </c>
      <c r="G11" s="63" t="s">
        <v>125</v>
      </c>
      <c r="H11" s="85"/>
      <c r="I11" s="31">
        <v>4</v>
      </c>
      <c r="J11" s="32">
        <v>460</v>
      </c>
      <c r="K11" s="64">
        <f t="shared" si="0"/>
        <v>1840</v>
      </c>
      <c r="L11" s="31">
        <v>4</v>
      </c>
      <c r="M11" s="32">
        <v>460</v>
      </c>
      <c r="N11" s="64">
        <f t="shared" si="1"/>
        <v>1840</v>
      </c>
      <c r="O11" s="31">
        <v>4</v>
      </c>
      <c r="P11" s="32">
        <v>460</v>
      </c>
      <c r="Q11" s="64">
        <f t="shared" si="2"/>
        <v>1840</v>
      </c>
    </row>
    <row r="12" spans="1:17" x14ac:dyDescent="0.25">
      <c r="A12" s="8" t="s">
        <v>61</v>
      </c>
      <c r="B12" s="9" t="s">
        <v>8</v>
      </c>
      <c r="C12" s="9" t="s">
        <v>62</v>
      </c>
      <c r="D12" s="62" t="s">
        <v>123</v>
      </c>
      <c r="E12" s="9" t="s">
        <v>124</v>
      </c>
      <c r="F12" s="63">
        <v>9</v>
      </c>
      <c r="G12" s="63" t="s">
        <v>125</v>
      </c>
      <c r="H12" s="85"/>
      <c r="I12" s="31">
        <v>17.5</v>
      </c>
      <c r="J12" s="32">
        <v>460</v>
      </c>
      <c r="K12" s="64">
        <f t="shared" si="0"/>
        <v>8050</v>
      </c>
      <c r="L12" s="31">
        <v>17.5</v>
      </c>
      <c r="M12" s="32">
        <v>460</v>
      </c>
      <c r="N12" s="64">
        <f t="shared" si="1"/>
        <v>8050</v>
      </c>
      <c r="O12" s="31">
        <v>17.5</v>
      </c>
      <c r="P12" s="32">
        <v>460</v>
      </c>
      <c r="Q12" s="64">
        <f t="shared" si="2"/>
        <v>8050</v>
      </c>
    </row>
    <row r="13" spans="1:17" x14ac:dyDescent="0.25">
      <c r="A13" s="8" t="s">
        <v>77</v>
      </c>
      <c r="B13" s="9" t="s">
        <v>8</v>
      </c>
      <c r="C13" s="9" t="s">
        <v>136</v>
      </c>
      <c r="D13" s="62" t="s">
        <v>123</v>
      </c>
      <c r="E13" s="9" t="s">
        <v>124</v>
      </c>
      <c r="F13" s="63">
        <v>9</v>
      </c>
      <c r="G13" s="63" t="s">
        <v>125</v>
      </c>
      <c r="H13" s="85" t="s">
        <v>137</v>
      </c>
      <c r="I13" s="31">
        <v>8</v>
      </c>
      <c r="J13" s="32">
        <v>460</v>
      </c>
      <c r="K13" s="64">
        <f t="shared" si="0"/>
        <v>3680</v>
      </c>
      <c r="L13" s="31">
        <v>8</v>
      </c>
      <c r="M13" s="32">
        <v>460</v>
      </c>
      <c r="N13" s="64">
        <f t="shared" si="1"/>
        <v>3680</v>
      </c>
      <c r="O13" s="31">
        <v>8</v>
      </c>
      <c r="P13" s="32">
        <v>460</v>
      </c>
      <c r="Q13" s="64">
        <f t="shared" si="2"/>
        <v>3680</v>
      </c>
    </row>
    <row r="14" spans="1:17" x14ac:dyDescent="0.25">
      <c r="A14" s="8" t="s">
        <v>77</v>
      </c>
      <c r="B14" s="9" t="s">
        <v>8</v>
      </c>
      <c r="C14" s="9" t="s">
        <v>212</v>
      </c>
      <c r="D14" s="62" t="s">
        <v>123</v>
      </c>
      <c r="E14" s="9" t="s">
        <v>124</v>
      </c>
      <c r="F14" s="63">
        <v>9</v>
      </c>
      <c r="G14" s="63"/>
      <c r="H14" s="85"/>
      <c r="I14" s="31">
        <v>1</v>
      </c>
      <c r="J14" s="32">
        <v>460</v>
      </c>
      <c r="K14" s="64">
        <f t="shared" si="0"/>
        <v>460</v>
      </c>
      <c r="L14" s="31">
        <v>1</v>
      </c>
      <c r="M14" s="32">
        <v>460</v>
      </c>
      <c r="N14" s="64">
        <f t="shared" si="1"/>
        <v>460</v>
      </c>
      <c r="O14" s="31">
        <v>1</v>
      </c>
      <c r="P14" s="32">
        <v>460</v>
      </c>
      <c r="Q14" s="64">
        <f t="shared" si="2"/>
        <v>460</v>
      </c>
    </row>
    <row r="15" spans="1:17" x14ac:dyDescent="0.25">
      <c r="A15" s="8" t="s">
        <v>77</v>
      </c>
      <c r="B15" s="9" t="s">
        <v>8</v>
      </c>
      <c r="C15" s="9" t="s">
        <v>212</v>
      </c>
      <c r="D15" s="62" t="s">
        <v>123</v>
      </c>
      <c r="E15" s="9" t="s">
        <v>124</v>
      </c>
      <c r="F15" s="63">
        <v>9</v>
      </c>
      <c r="G15" s="63"/>
      <c r="H15" s="85"/>
      <c r="I15" s="31">
        <v>1</v>
      </c>
      <c r="J15" s="32">
        <v>100</v>
      </c>
      <c r="K15" s="64">
        <f t="shared" si="0"/>
        <v>100</v>
      </c>
      <c r="L15" s="31">
        <v>1</v>
      </c>
      <c r="M15" s="32">
        <v>100</v>
      </c>
      <c r="N15" s="64">
        <f t="shared" si="1"/>
        <v>100</v>
      </c>
      <c r="O15" s="31">
        <v>1</v>
      </c>
      <c r="P15" s="32">
        <v>100</v>
      </c>
      <c r="Q15" s="64">
        <f t="shared" si="2"/>
        <v>100</v>
      </c>
    </row>
    <row r="16" spans="1:17" x14ac:dyDescent="0.25">
      <c r="A16" s="8" t="s">
        <v>100</v>
      </c>
      <c r="B16" s="9" t="s">
        <v>20</v>
      </c>
      <c r="C16" s="9" t="s">
        <v>101</v>
      </c>
      <c r="D16" s="62" t="s">
        <v>123</v>
      </c>
      <c r="E16" s="9" t="s">
        <v>124</v>
      </c>
      <c r="F16" s="63">
        <v>9</v>
      </c>
      <c r="G16" s="63" t="s">
        <v>125</v>
      </c>
      <c r="H16" s="85"/>
      <c r="I16" s="31">
        <v>6</v>
      </c>
      <c r="J16" s="32">
        <v>460</v>
      </c>
      <c r="K16" s="64">
        <f t="shared" si="0"/>
        <v>2760</v>
      </c>
      <c r="L16" s="31">
        <v>6</v>
      </c>
      <c r="M16" s="32">
        <v>460</v>
      </c>
      <c r="N16" s="64">
        <f t="shared" si="1"/>
        <v>2760</v>
      </c>
      <c r="O16" s="31">
        <v>6</v>
      </c>
      <c r="P16" s="32">
        <v>460</v>
      </c>
      <c r="Q16" s="64">
        <f t="shared" si="2"/>
        <v>2760</v>
      </c>
    </row>
    <row r="17" spans="1:17" x14ac:dyDescent="0.25">
      <c r="A17" s="8" t="s">
        <v>21</v>
      </c>
      <c r="B17" s="9" t="s">
        <v>20</v>
      </c>
      <c r="C17" s="9" t="s">
        <v>138</v>
      </c>
      <c r="D17" s="62" t="s">
        <v>123</v>
      </c>
      <c r="E17" s="9" t="s">
        <v>124</v>
      </c>
      <c r="F17" s="63">
        <v>9</v>
      </c>
      <c r="G17" s="63"/>
      <c r="H17" s="85"/>
      <c r="I17" s="31">
        <v>1</v>
      </c>
      <c r="J17" s="32">
        <v>460</v>
      </c>
      <c r="K17" s="64">
        <f t="shared" si="0"/>
        <v>460</v>
      </c>
      <c r="L17" s="31">
        <v>1</v>
      </c>
      <c r="M17" s="32">
        <v>460</v>
      </c>
      <c r="N17" s="64">
        <f t="shared" si="1"/>
        <v>460</v>
      </c>
      <c r="O17" s="31">
        <v>1</v>
      </c>
      <c r="P17" s="32">
        <v>460</v>
      </c>
      <c r="Q17" s="64">
        <f t="shared" si="2"/>
        <v>460</v>
      </c>
    </row>
    <row r="18" spans="1:17" x14ac:dyDescent="0.25">
      <c r="A18" s="8" t="s">
        <v>40</v>
      </c>
      <c r="B18" s="9" t="s">
        <v>20</v>
      </c>
      <c r="C18" s="9" t="s">
        <v>139</v>
      </c>
      <c r="D18" s="62" t="s">
        <v>123</v>
      </c>
      <c r="E18" s="9" t="s">
        <v>124</v>
      </c>
      <c r="F18" s="63">
        <v>9</v>
      </c>
      <c r="G18" s="63"/>
      <c r="H18" s="85"/>
      <c r="I18" s="31">
        <v>2</v>
      </c>
      <c r="J18" s="32">
        <v>460</v>
      </c>
      <c r="K18" s="64">
        <f t="shared" si="0"/>
        <v>920</v>
      </c>
      <c r="L18" s="31">
        <v>2</v>
      </c>
      <c r="M18" s="32">
        <v>460</v>
      </c>
      <c r="N18" s="64">
        <f t="shared" si="1"/>
        <v>920</v>
      </c>
      <c r="O18" s="31">
        <v>2</v>
      </c>
      <c r="P18" s="32">
        <v>460</v>
      </c>
      <c r="Q18" s="64">
        <f t="shared" si="2"/>
        <v>920</v>
      </c>
    </row>
    <row r="19" spans="1:17" x14ac:dyDescent="0.25">
      <c r="A19" s="8" t="s">
        <v>36</v>
      </c>
      <c r="B19" s="9" t="s">
        <v>20</v>
      </c>
      <c r="C19" s="9" t="s">
        <v>140</v>
      </c>
      <c r="D19" s="62" t="s">
        <v>123</v>
      </c>
      <c r="E19" s="9" t="s">
        <v>124</v>
      </c>
      <c r="F19" s="63">
        <v>9</v>
      </c>
      <c r="G19" s="63"/>
      <c r="H19" s="85"/>
      <c r="I19" s="31">
        <v>3</v>
      </c>
      <c r="J19" s="32">
        <v>460</v>
      </c>
      <c r="K19" s="64">
        <f t="shared" si="0"/>
        <v>1380</v>
      </c>
      <c r="L19" s="31">
        <v>3</v>
      </c>
      <c r="M19" s="32">
        <v>460</v>
      </c>
      <c r="N19" s="64">
        <f t="shared" si="1"/>
        <v>1380</v>
      </c>
      <c r="O19" s="31">
        <v>3</v>
      </c>
      <c r="P19" s="32">
        <v>460</v>
      </c>
      <c r="Q19" s="64">
        <f t="shared" si="2"/>
        <v>1380</v>
      </c>
    </row>
    <row r="20" spans="1:17" x14ac:dyDescent="0.25">
      <c r="A20" s="8" t="s">
        <v>50</v>
      </c>
      <c r="B20" s="9" t="s">
        <v>20</v>
      </c>
      <c r="C20" s="9" t="s">
        <v>141</v>
      </c>
      <c r="D20" s="62" t="s">
        <v>123</v>
      </c>
      <c r="E20" s="9" t="s">
        <v>124</v>
      </c>
      <c r="F20" s="63">
        <v>9</v>
      </c>
      <c r="G20" s="63" t="s">
        <v>125</v>
      </c>
      <c r="H20" s="85"/>
      <c r="I20" s="31">
        <v>2.5</v>
      </c>
      <c r="J20" s="32">
        <v>460</v>
      </c>
      <c r="K20" s="64">
        <f t="shared" si="0"/>
        <v>1150</v>
      </c>
      <c r="L20" s="31">
        <v>2.5</v>
      </c>
      <c r="M20" s="32">
        <v>460</v>
      </c>
      <c r="N20" s="64">
        <f t="shared" si="1"/>
        <v>1150</v>
      </c>
      <c r="O20" s="31">
        <v>2.5</v>
      </c>
      <c r="P20" s="32">
        <v>460</v>
      </c>
      <c r="Q20" s="64">
        <f t="shared" si="2"/>
        <v>1150</v>
      </c>
    </row>
    <row r="21" spans="1:17" x14ac:dyDescent="0.25">
      <c r="A21" s="8" t="s">
        <v>54</v>
      </c>
      <c r="B21" s="9" t="s">
        <v>20</v>
      </c>
      <c r="C21" s="9" t="s">
        <v>55</v>
      </c>
      <c r="D21" s="62" t="s">
        <v>123</v>
      </c>
      <c r="E21" s="9" t="s">
        <v>124</v>
      </c>
      <c r="F21" s="63">
        <v>9</v>
      </c>
      <c r="G21" s="63" t="s">
        <v>125</v>
      </c>
      <c r="H21" s="85"/>
      <c r="I21" s="31">
        <v>6</v>
      </c>
      <c r="J21" s="32">
        <v>460</v>
      </c>
      <c r="K21" s="33">
        <f t="shared" ref="K21:K37" si="3">I21*J21</f>
        <v>2760</v>
      </c>
      <c r="L21" s="31">
        <v>6</v>
      </c>
      <c r="M21" s="32">
        <v>460</v>
      </c>
      <c r="N21" s="33">
        <f t="shared" ref="N21:N76" si="4">L21*M21</f>
        <v>2760</v>
      </c>
      <c r="O21" s="31">
        <v>6</v>
      </c>
      <c r="P21" s="32">
        <v>460</v>
      </c>
      <c r="Q21" s="33">
        <f t="shared" ref="Q21:Q52" si="5">O21*P21</f>
        <v>2760</v>
      </c>
    </row>
    <row r="22" spans="1:17" x14ac:dyDescent="0.25">
      <c r="A22" s="8" t="s">
        <v>33</v>
      </c>
      <c r="B22" s="9" t="s">
        <v>20</v>
      </c>
      <c r="C22" s="9" t="s">
        <v>34</v>
      </c>
      <c r="D22" s="62" t="s">
        <v>123</v>
      </c>
      <c r="E22" s="9" t="s">
        <v>124</v>
      </c>
      <c r="F22" s="63">
        <v>9</v>
      </c>
      <c r="G22" s="63" t="s">
        <v>125</v>
      </c>
      <c r="H22" s="85"/>
      <c r="I22" s="31">
        <v>6</v>
      </c>
      <c r="J22" s="32">
        <v>460</v>
      </c>
      <c r="K22" s="33">
        <f t="shared" si="3"/>
        <v>2760</v>
      </c>
      <c r="L22" s="31">
        <v>6</v>
      </c>
      <c r="M22" s="32">
        <v>460</v>
      </c>
      <c r="N22" s="33">
        <f t="shared" si="4"/>
        <v>2760</v>
      </c>
      <c r="O22" s="31">
        <v>6</v>
      </c>
      <c r="P22" s="32">
        <v>460</v>
      </c>
      <c r="Q22" s="33">
        <f t="shared" si="5"/>
        <v>2760</v>
      </c>
    </row>
    <row r="23" spans="1:17" x14ac:dyDescent="0.25">
      <c r="A23" s="8" t="s">
        <v>102</v>
      </c>
      <c r="B23" s="9" t="s">
        <v>206</v>
      </c>
      <c r="C23" s="9" t="s">
        <v>103</v>
      </c>
      <c r="D23" s="62" t="s">
        <v>123</v>
      </c>
      <c r="E23" s="9" t="s">
        <v>124</v>
      </c>
      <c r="F23" s="63">
        <v>9</v>
      </c>
      <c r="G23" s="63"/>
      <c r="H23" s="85"/>
      <c r="I23" s="31">
        <v>2.5</v>
      </c>
      <c r="J23" s="32">
        <v>460</v>
      </c>
      <c r="K23" s="33">
        <f t="shared" si="3"/>
        <v>1150</v>
      </c>
      <c r="L23" s="31">
        <v>2.5</v>
      </c>
      <c r="M23" s="32">
        <v>460</v>
      </c>
      <c r="N23" s="33">
        <f t="shared" si="4"/>
        <v>1150</v>
      </c>
      <c r="O23" s="31">
        <v>2.5</v>
      </c>
      <c r="P23" s="32">
        <v>460</v>
      </c>
      <c r="Q23" s="33">
        <f t="shared" si="5"/>
        <v>1150</v>
      </c>
    </row>
    <row r="24" spans="1:17" x14ac:dyDescent="0.25">
      <c r="A24" s="8" t="s">
        <v>104</v>
      </c>
      <c r="B24" s="9" t="s">
        <v>206</v>
      </c>
      <c r="C24" s="9" t="s">
        <v>105</v>
      </c>
      <c r="D24" s="62" t="s">
        <v>123</v>
      </c>
      <c r="E24" s="9" t="s">
        <v>124</v>
      </c>
      <c r="F24" s="63">
        <v>9</v>
      </c>
      <c r="G24" s="63"/>
      <c r="H24" s="85"/>
      <c r="I24" s="31">
        <v>2</v>
      </c>
      <c r="J24" s="32">
        <v>460</v>
      </c>
      <c r="K24" s="33">
        <f t="shared" si="3"/>
        <v>920</v>
      </c>
      <c r="L24" s="31">
        <v>2</v>
      </c>
      <c r="M24" s="32">
        <v>460</v>
      </c>
      <c r="N24" s="33">
        <f t="shared" si="4"/>
        <v>920</v>
      </c>
      <c r="O24" s="31">
        <v>2</v>
      </c>
      <c r="P24" s="32">
        <v>460</v>
      </c>
      <c r="Q24" s="33">
        <f t="shared" si="5"/>
        <v>920</v>
      </c>
    </row>
    <row r="25" spans="1:17" x14ac:dyDescent="0.25">
      <c r="A25" s="8" t="s">
        <v>104</v>
      </c>
      <c r="B25" s="9" t="s">
        <v>206</v>
      </c>
      <c r="C25" s="9" t="s">
        <v>105</v>
      </c>
      <c r="D25" s="62" t="s">
        <v>123</v>
      </c>
      <c r="E25" s="9" t="s">
        <v>124</v>
      </c>
      <c r="F25" s="63" t="s">
        <v>135</v>
      </c>
      <c r="G25" s="63"/>
      <c r="H25" s="85"/>
      <c r="I25" s="31">
        <v>1</v>
      </c>
      <c r="J25" s="32">
        <v>200</v>
      </c>
      <c r="K25" s="33">
        <f t="shared" si="3"/>
        <v>200</v>
      </c>
      <c r="L25" s="31">
        <v>1</v>
      </c>
      <c r="M25" s="32">
        <v>200</v>
      </c>
      <c r="N25" s="33">
        <f t="shared" si="4"/>
        <v>200</v>
      </c>
      <c r="O25" s="31">
        <v>1</v>
      </c>
      <c r="P25" s="32">
        <v>200</v>
      </c>
      <c r="Q25" s="33">
        <f t="shared" si="5"/>
        <v>200</v>
      </c>
    </row>
    <row r="26" spans="1:17" x14ac:dyDescent="0.25">
      <c r="A26" s="8" t="s">
        <v>106</v>
      </c>
      <c r="B26" s="9" t="s">
        <v>206</v>
      </c>
      <c r="C26" s="9" t="s">
        <v>107</v>
      </c>
      <c r="D26" s="62" t="s">
        <v>123</v>
      </c>
      <c r="E26" s="9" t="s">
        <v>124</v>
      </c>
      <c r="F26" s="63">
        <v>9</v>
      </c>
      <c r="G26" s="63"/>
      <c r="H26" s="85"/>
      <c r="I26" s="31">
        <v>3</v>
      </c>
      <c r="J26" s="32">
        <v>460</v>
      </c>
      <c r="K26" s="33">
        <f t="shared" si="3"/>
        <v>1380</v>
      </c>
      <c r="L26" s="31">
        <v>3</v>
      </c>
      <c r="M26" s="32">
        <v>460</v>
      </c>
      <c r="N26" s="33">
        <f t="shared" si="4"/>
        <v>1380</v>
      </c>
      <c r="O26" s="31">
        <v>1</v>
      </c>
      <c r="P26" s="32">
        <v>460</v>
      </c>
      <c r="Q26" s="33">
        <f t="shared" si="5"/>
        <v>460</v>
      </c>
    </row>
    <row r="27" spans="1:17" x14ac:dyDescent="0.25">
      <c r="A27" s="8" t="s">
        <v>106</v>
      </c>
      <c r="B27" s="9" t="s">
        <v>206</v>
      </c>
      <c r="C27" s="9" t="s">
        <v>107</v>
      </c>
      <c r="D27" s="62" t="s">
        <v>123</v>
      </c>
      <c r="E27" s="9" t="s">
        <v>124</v>
      </c>
      <c r="F27" s="63" t="s">
        <v>135</v>
      </c>
      <c r="G27" s="63"/>
      <c r="H27" s="85"/>
      <c r="I27" s="31">
        <v>1</v>
      </c>
      <c r="J27" s="32">
        <v>300</v>
      </c>
      <c r="K27" s="33">
        <f t="shared" si="3"/>
        <v>300</v>
      </c>
      <c r="L27" s="31">
        <v>1</v>
      </c>
      <c r="M27" s="32">
        <v>300</v>
      </c>
      <c r="N27" s="33">
        <f t="shared" si="4"/>
        <v>300</v>
      </c>
      <c r="O27" s="31">
        <v>1</v>
      </c>
      <c r="P27" s="32">
        <v>100</v>
      </c>
      <c r="Q27" s="33">
        <f t="shared" si="5"/>
        <v>100</v>
      </c>
    </row>
    <row r="28" spans="1:17" x14ac:dyDescent="0.25">
      <c r="A28" s="8" t="s">
        <v>143</v>
      </c>
      <c r="B28" s="9" t="s">
        <v>83</v>
      </c>
      <c r="C28" s="9" t="s">
        <v>144</v>
      </c>
      <c r="D28" s="62" t="s">
        <v>123</v>
      </c>
      <c r="E28" s="9" t="s">
        <v>124</v>
      </c>
      <c r="F28" s="63">
        <v>9</v>
      </c>
      <c r="G28" s="63" t="s">
        <v>125</v>
      </c>
      <c r="H28" s="85"/>
      <c r="I28" s="31">
        <v>1</v>
      </c>
      <c r="J28" s="32">
        <v>460</v>
      </c>
      <c r="K28" s="33">
        <f t="shared" si="3"/>
        <v>460</v>
      </c>
      <c r="L28" s="31">
        <v>1</v>
      </c>
      <c r="M28" s="32">
        <v>460</v>
      </c>
      <c r="N28" s="33">
        <f t="shared" si="4"/>
        <v>460</v>
      </c>
      <c r="O28" s="31">
        <v>1</v>
      </c>
      <c r="P28" s="32">
        <v>460</v>
      </c>
      <c r="Q28" s="33">
        <f t="shared" si="5"/>
        <v>460</v>
      </c>
    </row>
    <row r="29" spans="1:17" x14ac:dyDescent="0.25">
      <c r="A29" s="8" t="s">
        <v>145</v>
      </c>
      <c r="B29" s="9" t="s">
        <v>83</v>
      </c>
      <c r="C29" s="9" t="s">
        <v>146</v>
      </c>
      <c r="D29" s="62" t="s">
        <v>123</v>
      </c>
      <c r="E29" s="9" t="s">
        <v>124</v>
      </c>
      <c r="F29" s="63">
        <v>9</v>
      </c>
      <c r="G29" s="63" t="s">
        <v>125</v>
      </c>
      <c r="H29" s="85"/>
      <c r="I29" s="31">
        <v>1</v>
      </c>
      <c r="J29" s="32">
        <v>460</v>
      </c>
      <c r="K29" s="33">
        <f t="shared" si="3"/>
        <v>460</v>
      </c>
      <c r="L29" s="31">
        <v>1</v>
      </c>
      <c r="M29" s="32">
        <v>460</v>
      </c>
      <c r="N29" s="33">
        <f t="shared" si="4"/>
        <v>460</v>
      </c>
      <c r="O29" s="31">
        <v>1</v>
      </c>
      <c r="P29" s="32">
        <v>460</v>
      </c>
      <c r="Q29" s="33">
        <f t="shared" si="5"/>
        <v>460</v>
      </c>
    </row>
    <row r="30" spans="1:17" x14ac:dyDescent="0.25">
      <c r="A30" s="8" t="s">
        <v>145</v>
      </c>
      <c r="B30" s="9" t="s">
        <v>83</v>
      </c>
      <c r="C30" s="9" t="s">
        <v>146</v>
      </c>
      <c r="D30" s="62" t="s">
        <v>123</v>
      </c>
      <c r="E30" s="9" t="s">
        <v>124</v>
      </c>
      <c r="F30" s="63" t="s">
        <v>135</v>
      </c>
      <c r="G30" s="63" t="s">
        <v>125</v>
      </c>
      <c r="H30" s="85"/>
      <c r="I30" s="31">
        <v>1</v>
      </c>
      <c r="J30" s="32">
        <v>110</v>
      </c>
      <c r="K30" s="33">
        <f t="shared" si="3"/>
        <v>110</v>
      </c>
      <c r="L30" s="31">
        <v>1</v>
      </c>
      <c r="M30" s="32">
        <v>110</v>
      </c>
      <c r="N30" s="33">
        <f t="shared" si="4"/>
        <v>110</v>
      </c>
      <c r="O30" s="31">
        <v>1</v>
      </c>
      <c r="P30" s="32">
        <v>110</v>
      </c>
      <c r="Q30" s="33">
        <f t="shared" si="5"/>
        <v>110</v>
      </c>
    </row>
    <row r="31" spans="1:17" x14ac:dyDescent="0.25">
      <c r="A31" s="8" t="s">
        <v>147</v>
      </c>
      <c r="B31" s="9" t="s">
        <v>83</v>
      </c>
      <c r="C31" s="9" t="s">
        <v>148</v>
      </c>
      <c r="D31" s="62" t="s">
        <v>123</v>
      </c>
      <c r="E31" s="9" t="s">
        <v>124</v>
      </c>
      <c r="F31" s="63">
        <v>9</v>
      </c>
      <c r="G31" s="63"/>
      <c r="H31" s="85"/>
      <c r="I31" s="31">
        <v>1</v>
      </c>
      <c r="J31" s="32">
        <v>460</v>
      </c>
      <c r="K31" s="33">
        <f t="shared" si="3"/>
        <v>460</v>
      </c>
      <c r="L31" s="31">
        <v>1</v>
      </c>
      <c r="M31" s="32">
        <v>460</v>
      </c>
      <c r="N31" s="33">
        <f t="shared" si="4"/>
        <v>460</v>
      </c>
      <c r="O31" s="31">
        <v>1</v>
      </c>
      <c r="P31" s="32">
        <v>460</v>
      </c>
      <c r="Q31" s="33">
        <f t="shared" si="5"/>
        <v>460</v>
      </c>
    </row>
    <row r="32" spans="1:17" x14ac:dyDescent="0.25">
      <c r="A32" s="8" t="s">
        <v>147</v>
      </c>
      <c r="B32" s="9" t="s">
        <v>83</v>
      </c>
      <c r="C32" s="9" t="s">
        <v>148</v>
      </c>
      <c r="D32" s="62" t="s">
        <v>123</v>
      </c>
      <c r="E32" s="9" t="s">
        <v>124</v>
      </c>
      <c r="F32" s="63" t="s">
        <v>135</v>
      </c>
      <c r="G32" s="63"/>
      <c r="H32" s="85"/>
      <c r="I32" s="31">
        <v>1</v>
      </c>
      <c r="J32" s="32">
        <v>110</v>
      </c>
      <c r="K32" s="33">
        <f t="shared" si="3"/>
        <v>110</v>
      </c>
      <c r="L32" s="31">
        <v>1</v>
      </c>
      <c r="M32" s="32">
        <v>110</v>
      </c>
      <c r="N32" s="33">
        <f t="shared" si="4"/>
        <v>110</v>
      </c>
      <c r="O32" s="31">
        <v>1</v>
      </c>
      <c r="P32" s="32">
        <v>110</v>
      </c>
      <c r="Q32" s="33">
        <f t="shared" si="5"/>
        <v>110</v>
      </c>
    </row>
    <row r="33" spans="1:17" x14ac:dyDescent="0.25">
      <c r="A33" s="8" t="s">
        <v>82</v>
      </c>
      <c r="B33" s="9" t="s">
        <v>83</v>
      </c>
      <c r="C33" s="9" t="s">
        <v>149</v>
      </c>
      <c r="D33" s="62" t="s">
        <v>123</v>
      </c>
      <c r="E33" s="9" t="s">
        <v>124</v>
      </c>
      <c r="F33" s="63">
        <v>9</v>
      </c>
      <c r="G33" s="63" t="s">
        <v>125</v>
      </c>
      <c r="H33" s="85"/>
      <c r="I33" s="31">
        <v>1</v>
      </c>
      <c r="J33" s="32">
        <v>460</v>
      </c>
      <c r="K33" s="33">
        <f t="shared" si="3"/>
        <v>460</v>
      </c>
      <c r="L33" s="31">
        <v>1</v>
      </c>
      <c r="M33" s="32">
        <v>460</v>
      </c>
      <c r="N33" s="33">
        <f t="shared" si="4"/>
        <v>460</v>
      </c>
      <c r="O33" s="31">
        <v>1</v>
      </c>
      <c r="P33" s="32">
        <v>460</v>
      </c>
      <c r="Q33" s="33">
        <f t="shared" si="5"/>
        <v>460</v>
      </c>
    </row>
    <row r="34" spans="1:17" x14ac:dyDescent="0.25">
      <c r="A34" s="8" t="s">
        <v>150</v>
      </c>
      <c r="B34" s="9" t="s">
        <v>83</v>
      </c>
      <c r="C34" s="9" t="s">
        <v>151</v>
      </c>
      <c r="D34" s="62" t="s">
        <v>123</v>
      </c>
      <c r="E34" s="9" t="s">
        <v>124</v>
      </c>
      <c r="F34" s="63">
        <v>9</v>
      </c>
      <c r="G34" s="63"/>
      <c r="H34" s="85"/>
      <c r="I34" s="31">
        <v>1</v>
      </c>
      <c r="J34" s="32">
        <v>460</v>
      </c>
      <c r="K34" s="33">
        <f t="shared" si="3"/>
        <v>460</v>
      </c>
      <c r="L34" s="31">
        <v>1</v>
      </c>
      <c r="M34" s="32">
        <v>460</v>
      </c>
      <c r="N34" s="33">
        <f t="shared" si="4"/>
        <v>460</v>
      </c>
      <c r="O34" s="31">
        <v>1</v>
      </c>
      <c r="P34" s="32">
        <v>460</v>
      </c>
      <c r="Q34" s="33">
        <f t="shared" si="5"/>
        <v>460</v>
      </c>
    </row>
    <row r="35" spans="1:17" ht="18.75" customHeight="1" x14ac:dyDescent="0.25">
      <c r="A35" s="65" t="s">
        <v>152</v>
      </c>
      <c r="B35" s="66" t="s">
        <v>83</v>
      </c>
      <c r="C35" s="67" t="s">
        <v>153</v>
      </c>
      <c r="D35" s="68" t="s">
        <v>123</v>
      </c>
      <c r="E35" s="69" t="s">
        <v>124</v>
      </c>
      <c r="F35" s="70">
        <v>9</v>
      </c>
      <c r="G35" s="63" t="s">
        <v>125</v>
      </c>
      <c r="H35" s="85"/>
      <c r="I35" s="31">
        <v>1</v>
      </c>
      <c r="J35" s="32">
        <v>460</v>
      </c>
      <c r="K35" s="33">
        <f t="shared" si="3"/>
        <v>460</v>
      </c>
      <c r="L35" s="31">
        <v>1</v>
      </c>
      <c r="M35" s="32">
        <v>460</v>
      </c>
      <c r="N35" s="33">
        <f t="shared" si="4"/>
        <v>460</v>
      </c>
      <c r="O35" s="31">
        <v>1</v>
      </c>
      <c r="P35" s="32">
        <v>460</v>
      </c>
      <c r="Q35" s="33">
        <f t="shared" si="5"/>
        <v>460</v>
      </c>
    </row>
    <row r="36" spans="1:17" ht="18.75" customHeight="1" x14ac:dyDescent="0.25">
      <c r="A36" s="65" t="s">
        <v>154</v>
      </c>
      <c r="B36" s="66" t="s">
        <v>83</v>
      </c>
      <c r="C36" s="67" t="s">
        <v>155</v>
      </c>
      <c r="D36" s="68" t="s">
        <v>123</v>
      </c>
      <c r="E36" s="69" t="s">
        <v>124</v>
      </c>
      <c r="F36" s="70">
        <v>12</v>
      </c>
      <c r="G36" s="63"/>
      <c r="H36" s="85"/>
      <c r="I36" s="31">
        <v>1</v>
      </c>
      <c r="J36" s="32">
        <v>680</v>
      </c>
      <c r="K36" s="64">
        <f t="shared" si="3"/>
        <v>680</v>
      </c>
      <c r="L36" s="31">
        <v>1</v>
      </c>
      <c r="M36" s="32">
        <v>680</v>
      </c>
      <c r="N36" s="64">
        <f t="shared" si="4"/>
        <v>680</v>
      </c>
      <c r="O36" s="31">
        <v>1</v>
      </c>
      <c r="P36" s="32">
        <v>680</v>
      </c>
      <c r="Q36" s="64">
        <f t="shared" si="5"/>
        <v>680</v>
      </c>
    </row>
    <row r="37" spans="1:17" ht="18.75" customHeight="1" x14ac:dyDescent="0.25">
      <c r="A37" s="65" t="s">
        <v>154</v>
      </c>
      <c r="B37" s="66" t="s">
        <v>83</v>
      </c>
      <c r="C37" s="67" t="s">
        <v>155</v>
      </c>
      <c r="D37" s="68" t="s">
        <v>123</v>
      </c>
      <c r="E37" s="69" t="s">
        <v>124</v>
      </c>
      <c r="F37" s="70" t="s">
        <v>135</v>
      </c>
      <c r="G37" s="63"/>
      <c r="H37" s="85"/>
      <c r="I37" s="31">
        <v>1</v>
      </c>
      <c r="J37" s="32">
        <v>100</v>
      </c>
      <c r="K37" s="64">
        <f t="shared" si="3"/>
        <v>100</v>
      </c>
      <c r="L37" s="31">
        <v>1</v>
      </c>
      <c r="M37" s="32">
        <v>100</v>
      </c>
      <c r="N37" s="64">
        <f t="shared" si="4"/>
        <v>100</v>
      </c>
      <c r="O37" s="31">
        <v>1</v>
      </c>
      <c r="P37" s="32">
        <v>100</v>
      </c>
      <c r="Q37" s="64">
        <f t="shared" si="5"/>
        <v>100</v>
      </c>
    </row>
    <row r="38" spans="1:17" x14ac:dyDescent="0.25">
      <c r="A38" s="8" t="s">
        <v>65</v>
      </c>
      <c r="B38" s="9" t="s">
        <v>8</v>
      </c>
      <c r="C38" s="9" t="s">
        <v>160</v>
      </c>
      <c r="D38" s="71" t="s">
        <v>159</v>
      </c>
      <c r="E38" s="9" t="s">
        <v>124</v>
      </c>
      <c r="F38" s="63">
        <v>9</v>
      </c>
      <c r="G38" s="63" t="s">
        <v>161</v>
      </c>
      <c r="H38" s="11" t="s">
        <v>162</v>
      </c>
      <c r="I38" s="31">
        <v>5.52</v>
      </c>
      <c r="J38" s="32">
        <v>520</v>
      </c>
      <c r="K38" s="33">
        <f t="shared" ref="K38:K53" si="6">I38*J38</f>
        <v>2870.3999999999996</v>
      </c>
      <c r="L38" s="31">
        <v>5.52</v>
      </c>
      <c r="M38" s="32">
        <v>520</v>
      </c>
      <c r="N38" s="33">
        <f t="shared" si="4"/>
        <v>2870.3999999999996</v>
      </c>
      <c r="O38" s="31">
        <v>5.52</v>
      </c>
      <c r="P38" s="32">
        <v>520</v>
      </c>
      <c r="Q38" s="33">
        <f t="shared" si="5"/>
        <v>2870.3999999999996</v>
      </c>
    </row>
    <row r="39" spans="1:17" x14ac:dyDescent="0.25">
      <c r="A39" s="8" t="s">
        <v>65</v>
      </c>
      <c r="B39" s="9" t="s">
        <v>8</v>
      </c>
      <c r="C39" s="9" t="s">
        <v>160</v>
      </c>
      <c r="D39" s="71" t="s">
        <v>159</v>
      </c>
      <c r="E39" s="9" t="s">
        <v>124</v>
      </c>
      <c r="F39" s="63">
        <v>12</v>
      </c>
      <c r="G39" s="63" t="s">
        <v>161</v>
      </c>
      <c r="H39" s="11" t="s">
        <v>163</v>
      </c>
      <c r="I39" s="31">
        <v>2</v>
      </c>
      <c r="J39" s="32">
        <v>620</v>
      </c>
      <c r="K39" s="33">
        <f t="shared" si="6"/>
        <v>1240</v>
      </c>
      <c r="L39" s="31">
        <v>2</v>
      </c>
      <c r="M39" s="32">
        <v>620</v>
      </c>
      <c r="N39" s="33">
        <f t="shared" si="4"/>
        <v>1240</v>
      </c>
      <c r="O39" s="31">
        <v>2</v>
      </c>
      <c r="P39" s="32">
        <v>620</v>
      </c>
      <c r="Q39" s="33">
        <f t="shared" si="5"/>
        <v>1240</v>
      </c>
    </row>
    <row r="40" spans="1:17" x14ac:dyDescent="0.25">
      <c r="A40" s="8" t="s">
        <v>38</v>
      </c>
      <c r="B40" s="9" t="s">
        <v>8</v>
      </c>
      <c r="C40" s="9" t="s">
        <v>39</v>
      </c>
      <c r="D40" s="71" t="s">
        <v>159</v>
      </c>
      <c r="E40" s="9" t="s">
        <v>124</v>
      </c>
      <c r="F40" s="63">
        <v>9</v>
      </c>
      <c r="G40" s="63" t="s">
        <v>159</v>
      </c>
      <c r="H40" s="11" t="s">
        <v>163</v>
      </c>
      <c r="I40" s="31">
        <v>3.52</v>
      </c>
      <c r="J40" s="32">
        <v>520</v>
      </c>
      <c r="K40" s="33">
        <f t="shared" si="6"/>
        <v>1830.4</v>
      </c>
      <c r="L40" s="31">
        <v>3.52</v>
      </c>
      <c r="M40" s="32">
        <v>520</v>
      </c>
      <c r="N40" s="33">
        <f t="shared" si="4"/>
        <v>1830.4</v>
      </c>
      <c r="O40" s="31">
        <v>3.52</v>
      </c>
      <c r="P40" s="32">
        <v>520</v>
      </c>
      <c r="Q40" s="33">
        <f t="shared" si="5"/>
        <v>1830.4</v>
      </c>
    </row>
    <row r="41" spans="1:17" x14ac:dyDescent="0.25">
      <c r="A41" s="8" t="s">
        <v>164</v>
      </c>
      <c r="B41" s="9" t="s">
        <v>83</v>
      </c>
      <c r="C41" s="9" t="s">
        <v>165</v>
      </c>
      <c r="D41" s="71" t="s">
        <v>159</v>
      </c>
      <c r="E41" s="9" t="s">
        <v>124</v>
      </c>
      <c r="F41" s="63">
        <v>9</v>
      </c>
      <c r="G41" s="63"/>
      <c r="H41" s="11"/>
      <c r="I41" s="31">
        <v>1</v>
      </c>
      <c r="J41" s="32">
        <v>520</v>
      </c>
      <c r="K41" s="33">
        <f t="shared" si="6"/>
        <v>520</v>
      </c>
      <c r="L41" s="31">
        <v>1</v>
      </c>
      <c r="M41" s="32">
        <v>520</v>
      </c>
      <c r="N41" s="33">
        <f t="shared" si="4"/>
        <v>520</v>
      </c>
      <c r="O41" s="31">
        <v>1</v>
      </c>
      <c r="P41" s="32">
        <v>520</v>
      </c>
      <c r="Q41" s="33">
        <f t="shared" si="5"/>
        <v>520</v>
      </c>
    </row>
    <row r="42" spans="1:17" x14ac:dyDescent="0.25">
      <c r="A42" s="8" t="s">
        <v>166</v>
      </c>
      <c r="B42" s="9" t="s">
        <v>8</v>
      </c>
      <c r="C42" s="9" t="s">
        <v>64</v>
      </c>
      <c r="D42" s="71" t="s">
        <v>159</v>
      </c>
      <c r="E42" s="9" t="s">
        <v>124</v>
      </c>
      <c r="F42" s="63">
        <v>9</v>
      </c>
      <c r="G42" s="63"/>
      <c r="H42" s="11"/>
      <c r="I42" s="31">
        <v>4.6349999999999998</v>
      </c>
      <c r="J42" s="32">
        <v>520</v>
      </c>
      <c r="K42" s="33">
        <f t="shared" si="6"/>
        <v>2410.1999999999998</v>
      </c>
      <c r="L42" s="31">
        <v>4.6349999999999998</v>
      </c>
      <c r="M42" s="32">
        <v>520</v>
      </c>
      <c r="N42" s="33">
        <f t="shared" si="4"/>
        <v>2410.1999999999998</v>
      </c>
      <c r="O42" s="31">
        <v>4.6349999999999998</v>
      </c>
      <c r="P42" s="32">
        <v>520</v>
      </c>
      <c r="Q42" s="33">
        <f t="shared" si="5"/>
        <v>2410.1999999999998</v>
      </c>
    </row>
    <row r="43" spans="1:17" x14ac:dyDescent="0.25">
      <c r="A43" s="8" t="s">
        <v>74</v>
      </c>
      <c r="B43" s="9" t="s">
        <v>8</v>
      </c>
      <c r="C43" s="9" t="s">
        <v>75</v>
      </c>
      <c r="D43" s="71" t="s">
        <v>159</v>
      </c>
      <c r="E43" s="9" t="s">
        <v>124</v>
      </c>
      <c r="F43" s="63">
        <v>9</v>
      </c>
      <c r="G43" s="63" t="s">
        <v>161</v>
      </c>
      <c r="H43" s="11" t="s">
        <v>167</v>
      </c>
      <c r="I43" s="31">
        <v>12.335599999999999</v>
      </c>
      <c r="J43" s="32">
        <v>520</v>
      </c>
      <c r="K43" s="33">
        <f t="shared" si="6"/>
        <v>6414.5119999999997</v>
      </c>
      <c r="L43" s="31">
        <v>12.335599999999999</v>
      </c>
      <c r="M43" s="32">
        <v>520</v>
      </c>
      <c r="N43" s="33">
        <f t="shared" si="4"/>
        <v>6414.5119999999997</v>
      </c>
      <c r="O43" s="31">
        <v>12.335599999999999</v>
      </c>
      <c r="P43" s="32">
        <v>520</v>
      </c>
      <c r="Q43" s="33">
        <f t="shared" si="5"/>
        <v>6414.5119999999997</v>
      </c>
    </row>
    <row r="44" spans="1:17" x14ac:dyDescent="0.25">
      <c r="A44" s="8" t="s">
        <v>74</v>
      </c>
      <c r="B44" s="9" t="s">
        <v>8</v>
      </c>
      <c r="C44" s="9" t="s">
        <v>75</v>
      </c>
      <c r="D44" s="71" t="s">
        <v>159</v>
      </c>
      <c r="E44" s="9" t="s">
        <v>124</v>
      </c>
      <c r="F44" s="63">
        <v>12</v>
      </c>
      <c r="G44" s="63" t="s">
        <v>161</v>
      </c>
      <c r="H44" s="11" t="s">
        <v>163</v>
      </c>
      <c r="I44" s="34">
        <v>1</v>
      </c>
      <c r="J44" s="32">
        <v>620</v>
      </c>
      <c r="K44" s="33">
        <f t="shared" si="6"/>
        <v>620</v>
      </c>
      <c r="L44" s="34">
        <v>1</v>
      </c>
      <c r="M44" s="32">
        <v>620</v>
      </c>
      <c r="N44" s="33">
        <f t="shared" si="4"/>
        <v>620</v>
      </c>
      <c r="O44" s="34">
        <v>1</v>
      </c>
      <c r="P44" s="32">
        <v>620</v>
      </c>
      <c r="Q44" s="33">
        <f t="shared" si="5"/>
        <v>620</v>
      </c>
    </row>
    <row r="45" spans="1:17" x14ac:dyDescent="0.25">
      <c r="A45" s="8" t="s">
        <v>168</v>
      </c>
      <c r="B45" s="9" t="s">
        <v>24</v>
      </c>
      <c r="C45" s="9" t="s">
        <v>169</v>
      </c>
      <c r="D45" s="71" t="s">
        <v>159</v>
      </c>
      <c r="E45" s="9" t="s">
        <v>124</v>
      </c>
      <c r="F45" s="63">
        <v>9</v>
      </c>
      <c r="G45" s="63" t="s">
        <v>161</v>
      </c>
      <c r="H45" s="11" t="s">
        <v>162</v>
      </c>
      <c r="I45" s="31">
        <v>5</v>
      </c>
      <c r="J45" s="32">
        <v>520</v>
      </c>
      <c r="K45" s="33">
        <f t="shared" si="6"/>
        <v>2600</v>
      </c>
      <c r="L45" s="31">
        <v>5</v>
      </c>
      <c r="M45" s="32">
        <v>520</v>
      </c>
      <c r="N45" s="33">
        <f t="shared" si="4"/>
        <v>2600</v>
      </c>
      <c r="O45" s="31">
        <v>5</v>
      </c>
      <c r="P45" s="32">
        <v>520</v>
      </c>
      <c r="Q45" s="33">
        <f t="shared" si="5"/>
        <v>2600</v>
      </c>
    </row>
    <row r="46" spans="1:17" x14ac:dyDescent="0.25">
      <c r="A46" s="8" t="s">
        <v>168</v>
      </c>
      <c r="B46" s="9" t="s">
        <v>24</v>
      </c>
      <c r="C46" s="9" t="s">
        <v>169</v>
      </c>
      <c r="D46" s="71" t="s">
        <v>159</v>
      </c>
      <c r="E46" s="9" t="s">
        <v>124</v>
      </c>
      <c r="F46" s="63">
        <v>12</v>
      </c>
      <c r="G46" s="63"/>
      <c r="H46" s="11"/>
      <c r="I46" s="31">
        <v>1</v>
      </c>
      <c r="J46" s="32">
        <v>620</v>
      </c>
      <c r="K46" s="33">
        <f t="shared" si="6"/>
        <v>620</v>
      </c>
      <c r="L46" s="31">
        <v>1</v>
      </c>
      <c r="M46" s="32">
        <v>620</v>
      </c>
      <c r="N46" s="33">
        <f t="shared" si="4"/>
        <v>620</v>
      </c>
      <c r="O46" s="31">
        <v>1</v>
      </c>
      <c r="P46" s="32">
        <v>620</v>
      </c>
      <c r="Q46" s="33">
        <f t="shared" si="5"/>
        <v>620</v>
      </c>
    </row>
    <row r="47" spans="1:17" x14ac:dyDescent="0.25">
      <c r="A47" s="8" t="s">
        <v>93</v>
      </c>
      <c r="B47" s="9" t="s">
        <v>8</v>
      </c>
      <c r="C47" s="9" t="s">
        <v>94</v>
      </c>
      <c r="D47" s="71" t="s">
        <v>159</v>
      </c>
      <c r="E47" s="9" t="s">
        <v>124</v>
      </c>
      <c r="F47" s="63">
        <v>9</v>
      </c>
      <c r="G47" s="63" t="s">
        <v>161</v>
      </c>
      <c r="H47" s="11" t="s">
        <v>163</v>
      </c>
      <c r="I47" s="31">
        <v>7</v>
      </c>
      <c r="J47" s="72">
        <v>520</v>
      </c>
      <c r="K47" s="33">
        <f t="shared" si="6"/>
        <v>3640</v>
      </c>
      <c r="L47" s="31">
        <v>7</v>
      </c>
      <c r="M47" s="72">
        <v>520</v>
      </c>
      <c r="N47" s="33">
        <f t="shared" si="4"/>
        <v>3640</v>
      </c>
      <c r="O47" s="31">
        <v>7</v>
      </c>
      <c r="P47" s="32">
        <v>520</v>
      </c>
      <c r="Q47" s="33">
        <f t="shared" si="5"/>
        <v>3640</v>
      </c>
    </row>
    <row r="48" spans="1:17" x14ac:dyDescent="0.25">
      <c r="A48" s="8" t="s">
        <v>93</v>
      </c>
      <c r="B48" s="9" t="s">
        <v>8</v>
      </c>
      <c r="C48" s="9" t="s">
        <v>94</v>
      </c>
      <c r="D48" s="71" t="s">
        <v>159</v>
      </c>
      <c r="E48" s="9" t="s">
        <v>124</v>
      </c>
      <c r="F48" s="63">
        <v>12</v>
      </c>
      <c r="G48" s="63"/>
      <c r="H48" s="11"/>
      <c r="I48" s="31">
        <v>1</v>
      </c>
      <c r="J48" s="72">
        <v>620</v>
      </c>
      <c r="K48" s="33">
        <f t="shared" si="6"/>
        <v>620</v>
      </c>
      <c r="L48" s="31">
        <v>1</v>
      </c>
      <c r="M48" s="72">
        <v>620</v>
      </c>
      <c r="N48" s="33">
        <f t="shared" si="4"/>
        <v>620</v>
      </c>
      <c r="O48" s="31">
        <v>1</v>
      </c>
      <c r="P48" s="32">
        <v>620</v>
      </c>
      <c r="Q48" s="33">
        <f t="shared" si="5"/>
        <v>620</v>
      </c>
    </row>
    <row r="49" spans="1:17" x14ac:dyDescent="0.25">
      <c r="A49" s="8" t="s">
        <v>79</v>
      </c>
      <c r="B49" s="9" t="s">
        <v>8</v>
      </c>
      <c r="C49" s="9" t="s">
        <v>80</v>
      </c>
      <c r="D49" s="71" t="s">
        <v>159</v>
      </c>
      <c r="E49" s="9" t="s">
        <v>124</v>
      </c>
      <c r="F49" s="63">
        <v>9</v>
      </c>
      <c r="G49" s="63"/>
      <c r="H49" s="11"/>
      <c r="I49" s="31">
        <v>3.52</v>
      </c>
      <c r="J49" s="72">
        <v>520</v>
      </c>
      <c r="K49" s="33">
        <f t="shared" si="6"/>
        <v>1830.4</v>
      </c>
      <c r="L49" s="31">
        <v>3.52</v>
      </c>
      <c r="M49" s="72">
        <v>520</v>
      </c>
      <c r="N49" s="33">
        <f t="shared" si="4"/>
        <v>1830.4</v>
      </c>
      <c r="O49" s="31">
        <v>3.52</v>
      </c>
      <c r="P49" s="32">
        <v>520</v>
      </c>
      <c r="Q49" s="33">
        <f t="shared" si="5"/>
        <v>1830.4</v>
      </c>
    </row>
    <row r="50" spans="1:17" x14ac:dyDescent="0.25">
      <c r="A50" s="8" t="s">
        <v>59</v>
      </c>
      <c r="B50" s="9" t="s">
        <v>20</v>
      </c>
      <c r="C50" s="9" t="s">
        <v>60</v>
      </c>
      <c r="D50" s="71" t="s">
        <v>159</v>
      </c>
      <c r="E50" s="9" t="s">
        <v>124</v>
      </c>
      <c r="F50" s="63">
        <v>9</v>
      </c>
      <c r="G50" s="63" t="s">
        <v>159</v>
      </c>
      <c r="H50" s="11" t="s">
        <v>163</v>
      </c>
      <c r="I50" s="31">
        <v>7</v>
      </c>
      <c r="J50" s="72">
        <v>520</v>
      </c>
      <c r="K50" s="33">
        <f t="shared" si="6"/>
        <v>3640</v>
      </c>
      <c r="L50" s="31">
        <v>7</v>
      </c>
      <c r="M50" s="72">
        <v>520</v>
      </c>
      <c r="N50" s="33">
        <f t="shared" si="4"/>
        <v>3640</v>
      </c>
      <c r="O50" s="31">
        <v>7</v>
      </c>
      <c r="P50" s="32">
        <v>520</v>
      </c>
      <c r="Q50" s="33">
        <f t="shared" si="5"/>
        <v>3640</v>
      </c>
    </row>
    <row r="51" spans="1:17" x14ac:dyDescent="0.25">
      <c r="A51" s="8" t="s">
        <v>170</v>
      </c>
      <c r="B51" s="9" t="s">
        <v>83</v>
      </c>
      <c r="C51" s="9" t="s">
        <v>171</v>
      </c>
      <c r="D51" s="71" t="s">
        <v>159</v>
      </c>
      <c r="E51" s="9" t="s">
        <v>124</v>
      </c>
      <c r="F51" s="63">
        <v>9</v>
      </c>
      <c r="G51" s="63"/>
      <c r="H51" s="85"/>
      <c r="I51" s="31">
        <v>2</v>
      </c>
      <c r="J51" s="32">
        <v>520</v>
      </c>
      <c r="K51" s="33">
        <f t="shared" si="6"/>
        <v>1040</v>
      </c>
      <c r="L51" s="31">
        <v>2</v>
      </c>
      <c r="M51" s="32">
        <v>520</v>
      </c>
      <c r="N51" s="33">
        <f t="shared" si="4"/>
        <v>1040</v>
      </c>
      <c r="O51" s="31">
        <v>2</v>
      </c>
      <c r="P51" s="32">
        <v>520</v>
      </c>
      <c r="Q51" s="33">
        <f t="shared" si="5"/>
        <v>1040</v>
      </c>
    </row>
    <row r="52" spans="1:17" x14ac:dyDescent="0.25">
      <c r="A52" s="8" t="s">
        <v>170</v>
      </c>
      <c r="B52" s="9" t="s">
        <v>83</v>
      </c>
      <c r="C52" s="9" t="s">
        <v>171</v>
      </c>
      <c r="D52" s="71" t="s">
        <v>159</v>
      </c>
      <c r="E52" s="9" t="s">
        <v>124</v>
      </c>
      <c r="F52" s="63" t="s">
        <v>135</v>
      </c>
      <c r="G52" s="63"/>
      <c r="H52" s="85"/>
      <c r="I52" s="31">
        <v>1</v>
      </c>
      <c r="J52" s="32">
        <v>175</v>
      </c>
      <c r="K52" s="33">
        <f t="shared" si="6"/>
        <v>175</v>
      </c>
      <c r="L52" s="31">
        <v>1</v>
      </c>
      <c r="M52" s="32">
        <v>175</v>
      </c>
      <c r="N52" s="33">
        <f t="shared" si="4"/>
        <v>175</v>
      </c>
      <c r="O52" s="31">
        <v>1</v>
      </c>
      <c r="P52" s="32">
        <v>175</v>
      </c>
      <c r="Q52" s="33">
        <f t="shared" si="5"/>
        <v>175</v>
      </c>
    </row>
    <row r="53" spans="1:17" x14ac:dyDescent="0.25">
      <c r="A53" s="8" t="s">
        <v>46</v>
      </c>
      <c r="B53" s="9" t="s">
        <v>20</v>
      </c>
      <c r="C53" s="9" t="s">
        <v>172</v>
      </c>
      <c r="D53" s="71" t="s">
        <v>159</v>
      </c>
      <c r="E53" s="9" t="s">
        <v>124</v>
      </c>
      <c r="F53" s="63">
        <v>9</v>
      </c>
      <c r="G53" s="63"/>
      <c r="H53" s="85"/>
      <c r="I53" s="31">
        <v>3.52</v>
      </c>
      <c r="J53" s="32">
        <v>520</v>
      </c>
      <c r="K53" s="33">
        <f t="shared" si="6"/>
        <v>1830.4</v>
      </c>
      <c r="L53" s="31">
        <v>3.52</v>
      </c>
      <c r="M53" s="32">
        <v>520</v>
      </c>
      <c r="N53" s="33">
        <f t="shared" si="4"/>
        <v>1830.4</v>
      </c>
      <c r="O53" s="31">
        <v>3.52</v>
      </c>
      <c r="P53" s="32">
        <v>520</v>
      </c>
      <c r="Q53" s="33">
        <f t="shared" ref="Q53:Q76" si="7">O53*P53</f>
        <v>1830.4</v>
      </c>
    </row>
    <row r="54" spans="1:17" x14ac:dyDescent="0.25">
      <c r="A54" s="8" t="s">
        <v>173</v>
      </c>
      <c r="B54" s="9" t="s">
        <v>20</v>
      </c>
      <c r="C54" s="9" t="s">
        <v>174</v>
      </c>
      <c r="D54" s="71" t="s">
        <v>159</v>
      </c>
      <c r="E54" s="9" t="s">
        <v>124</v>
      </c>
      <c r="F54" s="63">
        <v>9</v>
      </c>
      <c r="G54" s="63"/>
      <c r="H54" s="85"/>
      <c r="I54" s="31">
        <v>4</v>
      </c>
      <c r="J54" s="32">
        <v>520</v>
      </c>
      <c r="K54" s="33">
        <f t="shared" ref="K54:K69" si="8">I54*J54</f>
        <v>2080</v>
      </c>
      <c r="L54" s="31">
        <v>4</v>
      </c>
      <c r="M54" s="32">
        <v>520</v>
      </c>
      <c r="N54" s="33">
        <f t="shared" si="4"/>
        <v>2080</v>
      </c>
      <c r="O54" s="31">
        <v>4</v>
      </c>
      <c r="P54" s="32">
        <v>520</v>
      </c>
      <c r="Q54" s="33">
        <f t="shared" si="7"/>
        <v>2080</v>
      </c>
    </row>
    <row r="55" spans="1:17" x14ac:dyDescent="0.25">
      <c r="A55" s="8" t="s">
        <v>70</v>
      </c>
      <c r="B55" s="9" t="s">
        <v>20</v>
      </c>
      <c r="C55" s="9" t="s">
        <v>71</v>
      </c>
      <c r="D55" s="71" t="s">
        <v>159</v>
      </c>
      <c r="E55" s="9" t="s">
        <v>124</v>
      </c>
      <c r="F55" s="63">
        <v>9</v>
      </c>
      <c r="G55" s="63"/>
      <c r="H55" s="85" t="s">
        <v>175</v>
      </c>
      <c r="I55" s="31">
        <v>2</v>
      </c>
      <c r="J55" s="32">
        <v>520</v>
      </c>
      <c r="K55" s="33">
        <f t="shared" si="8"/>
        <v>1040</v>
      </c>
      <c r="L55" s="31">
        <v>2</v>
      </c>
      <c r="M55" s="32">
        <v>520</v>
      </c>
      <c r="N55" s="33">
        <f t="shared" si="4"/>
        <v>1040</v>
      </c>
      <c r="O55" s="31">
        <v>2</v>
      </c>
      <c r="P55" s="32">
        <v>520</v>
      </c>
      <c r="Q55" s="33">
        <f t="shared" si="7"/>
        <v>1040</v>
      </c>
    </row>
    <row r="56" spans="1:17" x14ac:dyDescent="0.25">
      <c r="A56" s="8" t="s">
        <v>70</v>
      </c>
      <c r="B56" s="9" t="s">
        <v>20</v>
      </c>
      <c r="C56" s="9" t="s">
        <v>71</v>
      </c>
      <c r="D56" s="71" t="s">
        <v>159</v>
      </c>
      <c r="E56" s="9" t="s">
        <v>124</v>
      </c>
      <c r="F56" s="63" t="s">
        <v>135</v>
      </c>
      <c r="G56" s="63"/>
      <c r="H56" s="85"/>
      <c r="I56" s="31">
        <v>1</v>
      </c>
      <c r="J56" s="32">
        <v>220</v>
      </c>
      <c r="K56" s="33">
        <f t="shared" si="8"/>
        <v>220</v>
      </c>
      <c r="L56" s="31">
        <v>1</v>
      </c>
      <c r="M56" s="32">
        <v>220</v>
      </c>
      <c r="N56" s="33">
        <f t="shared" si="4"/>
        <v>220</v>
      </c>
      <c r="O56" s="31">
        <v>1</v>
      </c>
      <c r="P56" s="32">
        <v>220</v>
      </c>
      <c r="Q56" s="33">
        <f t="shared" si="7"/>
        <v>220</v>
      </c>
    </row>
    <row r="57" spans="1:17" x14ac:dyDescent="0.25">
      <c r="A57" s="8" t="s">
        <v>176</v>
      </c>
      <c r="B57" s="9" t="s">
        <v>20</v>
      </c>
      <c r="C57" s="9" t="s">
        <v>88</v>
      </c>
      <c r="D57" s="71" t="s">
        <v>159</v>
      </c>
      <c r="E57" s="9" t="s">
        <v>124</v>
      </c>
      <c r="F57" s="63">
        <v>9</v>
      </c>
      <c r="G57" s="63"/>
      <c r="H57" s="85" t="s">
        <v>177</v>
      </c>
      <c r="I57" s="31">
        <v>6</v>
      </c>
      <c r="J57" s="32">
        <v>520</v>
      </c>
      <c r="K57" s="33">
        <f t="shared" si="8"/>
        <v>3120</v>
      </c>
      <c r="L57" s="31">
        <v>6</v>
      </c>
      <c r="M57" s="32">
        <v>520</v>
      </c>
      <c r="N57" s="33">
        <f t="shared" si="4"/>
        <v>3120</v>
      </c>
      <c r="O57" s="31">
        <v>6</v>
      </c>
      <c r="P57" s="32">
        <v>520</v>
      </c>
      <c r="Q57" s="33">
        <f t="shared" si="7"/>
        <v>3120</v>
      </c>
    </row>
    <row r="58" spans="1:17" x14ac:dyDescent="0.25">
      <c r="A58" s="8" t="s">
        <v>42</v>
      </c>
      <c r="B58" s="9" t="s">
        <v>20</v>
      </c>
      <c r="C58" s="9" t="s">
        <v>142</v>
      </c>
      <c r="D58" s="71" t="s">
        <v>159</v>
      </c>
      <c r="E58" s="9" t="s">
        <v>124</v>
      </c>
      <c r="F58" s="63">
        <v>9</v>
      </c>
      <c r="G58" s="63"/>
      <c r="H58" s="85"/>
      <c r="I58" s="31">
        <v>3</v>
      </c>
      <c r="J58" s="32">
        <v>520</v>
      </c>
      <c r="K58" s="33">
        <f t="shared" si="8"/>
        <v>1560</v>
      </c>
      <c r="L58" s="31">
        <v>3</v>
      </c>
      <c r="M58" s="32">
        <v>520</v>
      </c>
      <c r="N58" s="33">
        <f t="shared" si="4"/>
        <v>1560</v>
      </c>
      <c r="O58" s="31">
        <v>3</v>
      </c>
      <c r="P58" s="32">
        <v>520</v>
      </c>
      <c r="Q58" s="33">
        <f t="shared" si="7"/>
        <v>1560</v>
      </c>
    </row>
    <row r="59" spans="1:17" x14ac:dyDescent="0.25">
      <c r="A59" s="8" t="s">
        <v>24</v>
      </c>
      <c r="B59" s="9" t="s">
        <v>24</v>
      </c>
      <c r="C59" s="9" t="s">
        <v>185</v>
      </c>
      <c r="D59" s="71" t="s">
        <v>159</v>
      </c>
      <c r="E59" s="9" t="s">
        <v>124</v>
      </c>
      <c r="F59" s="63">
        <v>9</v>
      </c>
      <c r="G59" s="63"/>
      <c r="H59" s="85"/>
      <c r="I59" s="31">
        <v>12</v>
      </c>
      <c r="J59" s="32">
        <v>520</v>
      </c>
      <c r="K59" s="33">
        <f t="shared" si="8"/>
        <v>6240</v>
      </c>
      <c r="L59" s="31">
        <v>12</v>
      </c>
      <c r="M59" s="32">
        <v>520</v>
      </c>
      <c r="N59" s="33">
        <f t="shared" si="4"/>
        <v>6240</v>
      </c>
      <c r="O59" s="31">
        <v>12</v>
      </c>
      <c r="P59" s="32">
        <v>520</v>
      </c>
      <c r="Q59" s="33">
        <f t="shared" si="7"/>
        <v>6240</v>
      </c>
    </row>
    <row r="60" spans="1:17" x14ac:dyDescent="0.25">
      <c r="A60" s="8" t="s">
        <v>24</v>
      </c>
      <c r="B60" s="9" t="s">
        <v>24</v>
      </c>
      <c r="C60" s="9" t="s">
        <v>185</v>
      </c>
      <c r="D60" s="71" t="s">
        <v>159</v>
      </c>
      <c r="E60" s="9" t="s">
        <v>124</v>
      </c>
      <c r="F60" s="63">
        <v>9</v>
      </c>
      <c r="G60" s="63"/>
      <c r="H60" s="85"/>
      <c r="I60" s="31">
        <v>1</v>
      </c>
      <c r="J60" s="32">
        <v>210</v>
      </c>
      <c r="K60" s="33">
        <f t="shared" si="8"/>
        <v>210</v>
      </c>
      <c r="L60" s="31">
        <v>1</v>
      </c>
      <c r="M60" s="32">
        <v>210</v>
      </c>
      <c r="N60" s="33">
        <f t="shared" si="4"/>
        <v>210</v>
      </c>
      <c r="O60" s="31">
        <v>1</v>
      </c>
      <c r="P60" s="32">
        <v>210</v>
      </c>
      <c r="Q60" s="33">
        <f t="shared" si="7"/>
        <v>210</v>
      </c>
    </row>
    <row r="61" spans="1:17" x14ac:dyDescent="0.25">
      <c r="A61" s="8" t="s">
        <v>24</v>
      </c>
      <c r="B61" s="9" t="s">
        <v>24</v>
      </c>
      <c r="C61" s="9" t="s">
        <v>185</v>
      </c>
      <c r="D61" s="71" t="s">
        <v>159</v>
      </c>
      <c r="E61" s="9" t="s">
        <v>124</v>
      </c>
      <c r="F61" s="63">
        <v>9</v>
      </c>
      <c r="G61" s="63"/>
      <c r="H61" s="85"/>
      <c r="I61" s="31">
        <v>1</v>
      </c>
      <c r="J61" s="32">
        <v>790</v>
      </c>
      <c r="K61" s="33">
        <f t="shared" si="8"/>
        <v>790</v>
      </c>
      <c r="L61" s="31">
        <v>1</v>
      </c>
      <c r="M61" s="32">
        <v>790</v>
      </c>
      <c r="N61" s="33">
        <f t="shared" si="4"/>
        <v>790</v>
      </c>
      <c r="O61" s="31">
        <v>1</v>
      </c>
      <c r="P61" s="32">
        <v>790</v>
      </c>
      <c r="Q61" s="33">
        <f t="shared" si="7"/>
        <v>790</v>
      </c>
    </row>
    <row r="62" spans="1:17" x14ac:dyDescent="0.25">
      <c r="A62" s="8" t="s">
        <v>186</v>
      </c>
      <c r="B62" s="9" t="s">
        <v>83</v>
      </c>
      <c r="C62" s="9" t="s">
        <v>187</v>
      </c>
      <c r="D62" s="71" t="s">
        <v>159</v>
      </c>
      <c r="E62" s="9" t="s">
        <v>124</v>
      </c>
      <c r="F62" s="63">
        <v>12</v>
      </c>
      <c r="G62" s="63"/>
      <c r="H62" s="85"/>
      <c r="I62" s="31">
        <v>1</v>
      </c>
      <c r="J62" s="32">
        <v>620</v>
      </c>
      <c r="K62" s="33">
        <f t="shared" si="8"/>
        <v>620</v>
      </c>
      <c r="L62" s="31">
        <v>1</v>
      </c>
      <c r="M62" s="32">
        <v>620</v>
      </c>
      <c r="N62" s="33">
        <f t="shared" si="4"/>
        <v>620</v>
      </c>
      <c r="O62" s="31">
        <v>1</v>
      </c>
      <c r="P62" s="32">
        <v>620</v>
      </c>
      <c r="Q62" s="33">
        <f t="shared" si="7"/>
        <v>620</v>
      </c>
    </row>
    <row r="63" spans="1:17" x14ac:dyDescent="0.25">
      <c r="A63" s="8" t="s">
        <v>186</v>
      </c>
      <c r="B63" s="9" t="s">
        <v>83</v>
      </c>
      <c r="C63" s="9" t="s">
        <v>187</v>
      </c>
      <c r="D63" s="71" t="s">
        <v>159</v>
      </c>
      <c r="E63" s="9" t="s">
        <v>124</v>
      </c>
      <c r="F63" s="63" t="s">
        <v>135</v>
      </c>
      <c r="G63" s="63"/>
      <c r="H63" s="85"/>
      <c r="I63" s="31">
        <v>1</v>
      </c>
      <c r="J63" s="32">
        <v>210</v>
      </c>
      <c r="K63" s="33">
        <f t="shared" si="8"/>
        <v>210</v>
      </c>
      <c r="L63" s="31">
        <v>1</v>
      </c>
      <c r="M63" s="32">
        <v>210</v>
      </c>
      <c r="N63" s="33">
        <f t="shared" si="4"/>
        <v>210</v>
      </c>
      <c r="O63" s="31">
        <v>1</v>
      </c>
      <c r="P63" s="32">
        <v>210</v>
      </c>
      <c r="Q63" s="33">
        <f t="shared" si="7"/>
        <v>210</v>
      </c>
    </row>
    <row r="64" spans="1:17" x14ac:dyDescent="0.25">
      <c r="A64" s="8" t="s">
        <v>188</v>
      </c>
      <c r="B64" s="9" t="s">
        <v>83</v>
      </c>
      <c r="C64" s="9" t="s">
        <v>189</v>
      </c>
      <c r="D64" s="71" t="s">
        <v>159</v>
      </c>
      <c r="E64" s="9" t="s">
        <v>124</v>
      </c>
      <c r="F64" s="63">
        <v>12</v>
      </c>
      <c r="G64" s="63"/>
      <c r="H64" s="85"/>
      <c r="I64" s="31">
        <v>1</v>
      </c>
      <c r="J64" s="32">
        <v>620</v>
      </c>
      <c r="K64" s="33">
        <f t="shared" si="8"/>
        <v>620</v>
      </c>
      <c r="L64" s="31">
        <v>1</v>
      </c>
      <c r="M64" s="32">
        <v>620</v>
      </c>
      <c r="N64" s="33">
        <f t="shared" si="4"/>
        <v>620</v>
      </c>
      <c r="O64" s="31">
        <v>1</v>
      </c>
      <c r="P64" s="32">
        <v>620</v>
      </c>
      <c r="Q64" s="33">
        <f t="shared" si="7"/>
        <v>620</v>
      </c>
    </row>
    <row r="65" spans="1:17" x14ac:dyDescent="0.25">
      <c r="A65" s="8" t="s">
        <v>188</v>
      </c>
      <c r="B65" s="9" t="s">
        <v>83</v>
      </c>
      <c r="C65" s="9" t="s">
        <v>189</v>
      </c>
      <c r="D65" s="71" t="s">
        <v>159</v>
      </c>
      <c r="E65" s="9" t="s">
        <v>124</v>
      </c>
      <c r="F65" s="63" t="s">
        <v>135</v>
      </c>
      <c r="G65" s="63"/>
      <c r="H65" s="85"/>
      <c r="I65" s="31">
        <v>1</v>
      </c>
      <c r="J65" s="32">
        <v>210</v>
      </c>
      <c r="K65" s="33">
        <f t="shared" si="8"/>
        <v>210</v>
      </c>
      <c r="L65" s="31">
        <v>1</v>
      </c>
      <c r="M65" s="32">
        <v>210</v>
      </c>
      <c r="N65" s="33">
        <f t="shared" si="4"/>
        <v>210</v>
      </c>
      <c r="O65" s="31">
        <v>1</v>
      </c>
      <c r="P65" s="32">
        <v>210</v>
      </c>
      <c r="Q65" s="33">
        <f t="shared" si="7"/>
        <v>210</v>
      </c>
    </row>
    <row r="66" spans="1:17" x14ac:dyDescent="0.25">
      <c r="A66" s="8" t="s">
        <v>191</v>
      </c>
      <c r="B66" s="9" t="s">
        <v>83</v>
      </c>
      <c r="C66" s="9" t="s">
        <v>192</v>
      </c>
      <c r="D66" s="71" t="s">
        <v>159</v>
      </c>
      <c r="E66" s="9" t="s">
        <v>124</v>
      </c>
      <c r="F66" s="63">
        <v>9</v>
      </c>
      <c r="G66" s="63"/>
      <c r="H66" s="85"/>
      <c r="I66" s="31">
        <v>1</v>
      </c>
      <c r="J66" s="32">
        <v>520</v>
      </c>
      <c r="K66" s="33">
        <f t="shared" si="8"/>
        <v>520</v>
      </c>
      <c r="L66" s="31">
        <v>1</v>
      </c>
      <c r="M66" s="32">
        <v>520</v>
      </c>
      <c r="N66" s="33">
        <f t="shared" si="4"/>
        <v>520</v>
      </c>
      <c r="O66" s="31">
        <v>1</v>
      </c>
      <c r="P66" s="32">
        <v>520</v>
      </c>
      <c r="Q66" s="33">
        <f t="shared" si="7"/>
        <v>520</v>
      </c>
    </row>
    <row r="67" spans="1:17" x14ac:dyDescent="0.25">
      <c r="A67" s="8" t="s">
        <v>61</v>
      </c>
      <c r="B67" s="9" t="s">
        <v>8</v>
      </c>
      <c r="C67" s="9" t="s">
        <v>62</v>
      </c>
      <c r="D67" s="71" t="s">
        <v>159</v>
      </c>
      <c r="E67" s="9" t="s">
        <v>124</v>
      </c>
      <c r="F67" s="63">
        <v>9</v>
      </c>
      <c r="G67" s="63"/>
      <c r="H67" s="85"/>
      <c r="I67" s="31">
        <v>1</v>
      </c>
      <c r="J67" s="32">
        <v>520</v>
      </c>
      <c r="K67" s="33">
        <f t="shared" si="8"/>
        <v>520</v>
      </c>
      <c r="L67" s="31">
        <v>1</v>
      </c>
      <c r="M67" s="32">
        <v>520</v>
      </c>
      <c r="N67" s="33">
        <f t="shared" si="4"/>
        <v>520</v>
      </c>
      <c r="O67" s="31">
        <v>1</v>
      </c>
      <c r="P67" s="32">
        <v>520</v>
      </c>
      <c r="Q67" s="33">
        <f t="shared" si="7"/>
        <v>520</v>
      </c>
    </row>
    <row r="68" spans="1:17" x14ac:dyDescent="0.25">
      <c r="A68" s="8" t="s">
        <v>61</v>
      </c>
      <c r="B68" s="9" t="s">
        <v>8</v>
      </c>
      <c r="C68" s="9" t="s">
        <v>62</v>
      </c>
      <c r="D68" s="71" t="s">
        <v>159</v>
      </c>
      <c r="E68" s="9" t="s">
        <v>124</v>
      </c>
      <c r="F68" s="63" t="s">
        <v>135</v>
      </c>
      <c r="G68" s="63"/>
      <c r="H68" s="85"/>
      <c r="I68" s="31">
        <v>1</v>
      </c>
      <c r="J68" s="32">
        <v>175</v>
      </c>
      <c r="K68" s="64">
        <f t="shared" si="8"/>
        <v>175</v>
      </c>
      <c r="L68" s="31">
        <v>1</v>
      </c>
      <c r="M68" s="32">
        <v>175</v>
      </c>
      <c r="N68" s="64">
        <f t="shared" si="4"/>
        <v>175</v>
      </c>
      <c r="O68" s="31">
        <v>1</v>
      </c>
      <c r="P68" s="32">
        <v>175</v>
      </c>
      <c r="Q68" s="64">
        <f t="shared" si="7"/>
        <v>175</v>
      </c>
    </row>
    <row r="69" spans="1:17" x14ac:dyDescent="0.25">
      <c r="A69" s="8" t="s">
        <v>30</v>
      </c>
      <c r="B69" s="9" t="s">
        <v>30</v>
      </c>
      <c r="C69" s="73" t="s">
        <v>199</v>
      </c>
      <c r="D69" s="71" t="s">
        <v>159</v>
      </c>
      <c r="E69" s="9" t="s">
        <v>124</v>
      </c>
      <c r="F69" s="63">
        <v>9</v>
      </c>
      <c r="G69" s="63"/>
      <c r="H69" s="86" t="s">
        <v>200</v>
      </c>
      <c r="I69" s="31">
        <v>15</v>
      </c>
      <c r="J69" s="32">
        <v>520</v>
      </c>
      <c r="K69" s="64">
        <f t="shared" si="8"/>
        <v>7800</v>
      </c>
      <c r="L69" s="31">
        <v>15</v>
      </c>
      <c r="M69" s="32">
        <v>520</v>
      </c>
      <c r="N69" s="64">
        <f t="shared" si="4"/>
        <v>7800</v>
      </c>
      <c r="O69" s="31">
        <v>15</v>
      </c>
      <c r="P69" s="32">
        <v>520</v>
      </c>
      <c r="Q69" s="64">
        <f t="shared" si="7"/>
        <v>7800</v>
      </c>
    </row>
    <row r="70" spans="1:17" x14ac:dyDescent="0.25">
      <c r="A70" s="8" t="s">
        <v>201</v>
      </c>
      <c r="B70" s="9" t="s">
        <v>8</v>
      </c>
      <c r="C70" s="9" t="s">
        <v>202</v>
      </c>
      <c r="D70" s="74" t="s">
        <v>203</v>
      </c>
      <c r="E70" s="9" t="s">
        <v>124</v>
      </c>
      <c r="F70" s="63">
        <v>9</v>
      </c>
      <c r="G70" s="63"/>
      <c r="H70" s="85"/>
      <c r="I70" s="31">
        <v>6</v>
      </c>
      <c r="J70" s="32">
        <v>475</v>
      </c>
      <c r="K70" s="64">
        <f t="shared" ref="K70:K76" si="9">I70*J70</f>
        <v>2850</v>
      </c>
      <c r="L70" s="31">
        <v>5</v>
      </c>
      <c r="M70" s="32">
        <v>475</v>
      </c>
      <c r="N70" s="64">
        <f t="shared" si="4"/>
        <v>2375</v>
      </c>
      <c r="O70" s="31">
        <v>5</v>
      </c>
      <c r="P70" s="32">
        <v>475</v>
      </c>
      <c r="Q70" s="64">
        <f t="shared" si="7"/>
        <v>2375</v>
      </c>
    </row>
    <row r="71" spans="1:17" x14ac:dyDescent="0.25">
      <c r="A71" s="8" t="s">
        <v>201</v>
      </c>
      <c r="B71" s="9" t="s">
        <v>8</v>
      </c>
      <c r="C71" s="9" t="s">
        <v>202</v>
      </c>
      <c r="D71" s="74" t="s">
        <v>203</v>
      </c>
      <c r="E71" s="9" t="s">
        <v>124</v>
      </c>
      <c r="F71" s="63" t="s">
        <v>135</v>
      </c>
      <c r="G71" s="63"/>
      <c r="H71" s="85"/>
      <c r="I71" s="31"/>
      <c r="J71" s="32"/>
      <c r="K71" s="64"/>
      <c r="L71" s="31">
        <v>1</v>
      </c>
      <c r="M71" s="32">
        <v>396</v>
      </c>
      <c r="N71" s="64">
        <f t="shared" si="4"/>
        <v>396</v>
      </c>
      <c r="O71" s="31">
        <v>1</v>
      </c>
      <c r="P71" s="32">
        <v>396</v>
      </c>
      <c r="Q71" s="64">
        <f t="shared" si="7"/>
        <v>396</v>
      </c>
    </row>
    <row r="72" spans="1:17" x14ac:dyDescent="0.25">
      <c r="A72" s="8" t="s">
        <v>201</v>
      </c>
      <c r="B72" s="9" t="s">
        <v>8</v>
      </c>
      <c r="C72" s="9" t="s">
        <v>202</v>
      </c>
      <c r="D72" s="74" t="s">
        <v>203</v>
      </c>
      <c r="E72" s="9" t="s">
        <v>124</v>
      </c>
      <c r="F72" s="63">
        <v>9</v>
      </c>
      <c r="G72" s="63"/>
      <c r="H72" s="85"/>
      <c r="I72" s="31">
        <v>1</v>
      </c>
      <c r="J72" s="32">
        <v>600</v>
      </c>
      <c r="K72" s="64">
        <f t="shared" si="9"/>
        <v>600</v>
      </c>
      <c r="L72" s="31">
        <v>1</v>
      </c>
      <c r="M72" s="32">
        <v>600</v>
      </c>
      <c r="N72" s="64">
        <f t="shared" si="4"/>
        <v>600</v>
      </c>
      <c r="O72" s="31">
        <v>1</v>
      </c>
      <c r="P72" s="32">
        <v>600</v>
      </c>
      <c r="Q72" s="64">
        <f t="shared" si="7"/>
        <v>600</v>
      </c>
    </row>
    <row r="73" spans="1:17" x14ac:dyDescent="0.25">
      <c r="A73" s="8" t="s">
        <v>201</v>
      </c>
      <c r="B73" s="9" t="s">
        <v>8</v>
      </c>
      <c r="C73" s="9" t="s">
        <v>202</v>
      </c>
      <c r="D73" s="74" t="s">
        <v>203</v>
      </c>
      <c r="E73" s="9" t="s">
        <v>124</v>
      </c>
      <c r="F73" s="63" t="s">
        <v>135</v>
      </c>
      <c r="G73" s="101"/>
      <c r="H73" s="102"/>
      <c r="I73" s="35"/>
      <c r="J73" s="36"/>
      <c r="K73" s="33"/>
      <c r="L73" s="35">
        <v>1</v>
      </c>
      <c r="M73" s="36">
        <v>100</v>
      </c>
      <c r="N73" s="33">
        <f t="shared" si="4"/>
        <v>100</v>
      </c>
      <c r="O73" s="35">
        <v>1</v>
      </c>
      <c r="P73" s="36">
        <v>100</v>
      </c>
      <c r="Q73" s="33">
        <f t="shared" si="7"/>
        <v>100</v>
      </c>
    </row>
    <row r="74" spans="1:17" x14ac:dyDescent="0.25">
      <c r="A74" s="21" t="s">
        <v>214</v>
      </c>
      <c r="B74" s="22" t="s">
        <v>83</v>
      </c>
      <c r="C74" s="22" t="s">
        <v>215</v>
      </c>
      <c r="D74" s="74" t="s">
        <v>203</v>
      </c>
      <c r="E74" s="9" t="s">
        <v>124</v>
      </c>
      <c r="F74" s="101">
        <v>9</v>
      </c>
      <c r="G74" s="101"/>
      <c r="H74" s="102"/>
      <c r="I74" s="35"/>
      <c r="J74" s="36"/>
      <c r="K74" s="50"/>
      <c r="L74" s="35">
        <v>2</v>
      </c>
      <c r="M74" s="36">
        <v>40</v>
      </c>
      <c r="N74" s="50">
        <f t="shared" si="4"/>
        <v>80</v>
      </c>
      <c r="O74" s="35">
        <v>2</v>
      </c>
      <c r="P74" s="36">
        <v>40</v>
      </c>
      <c r="Q74" s="50">
        <f t="shared" si="7"/>
        <v>80</v>
      </c>
    </row>
    <row r="75" spans="1:17" x14ac:dyDescent="0.25">
      <c r="A75" s="21" t="s">
        <v>97</v>
      </c>
      <c r="B75" s="22" t="s">
        <v>98</v>
      </c>
      <c r="C75" s="22" t="s">
        <v>99</v>
      </c>
      <c r="D75" s="100" t="s">
        <v>203</v>
      </c>
      <c r="E75" s="22" t="s">
        <v>124</v>
      </c>
      <c r="F75" s="101">
        <v>9</v>
      </c>
      <c r="G75" s="101"/>
      <c r="H75" s="102"/>
      <c r="I75" s="35">
        <v>3</v>
      </c>
      <c r="J75" s="36">
        <v>475</v>
      </c>
      <c r="K75" s="50">
        <f t="shared" ref="K75" si="10">I75*J75</f>
        <v>1425</v>
      </c>
      <c r="L75" s="35">
        <v>2</v>
      </c>
      <c r="M75" s="36">
        <v>475</v>
      </c>
      <c r="N75" s="50">
        <f t="shared" ref="N75" si="11">L75*M75</f>
        <v>950</v>
      </c>
      <c r="O75" s="35">
        <v>2</v>
      </c>
      <c r="P75" s="36">
        <v>475</v>
      </c>
      <c r="Q75" s="50">
        <f t="shared" ref="Q75" si="12">O75*P75</f>
        <v>950</v>
      </c>
    </row>
    <row r="76" spans="1:17" ht="15.75" thickBot="1" x14ac:dyDescent="0.3">
      <c r="A76" s="23" t="s">
        <v>97</v>
      </c>
      <c r="B76" s="24" t="s">
        <v>98</v>
      </c>
      <c r="C76" s="24" t="s">
        <v>99</v>
      </c>
      <c r="D76" s="87" t="s">
        <v>203</v>
      </c>
      <c r="E76" s="24" t="s">
        <v>124</v>
      </c>
      <c r="F76" s="81" t="s">
        <v>135</v>
      </c>
      <c r="G76" s="81"/>
      <c r="H76" s="88"/>
      <c r="I76" s="38">
        <v>3</v>
      </c>
      <c r="J76" s="39">
        <v>475</v>
      </c>
      <c r="K76" s="82">
        <f t="shared" si="9"/>
        <v>1425</v>
      </c>
      <c r="L76" s="38">
        <v>1</v>
      </c>
      <c r="M76" s="39">
        <v>159</v>
      </c>
      <c r="N76" s="82">
        <f t="shared" si="4"/>
        <v>159</v>
      </c>
      <c r="O76" s="38">
        <v>1</v>
      </c>
      <c r="P76" s="39">
        <v>159</v>
      </c>
      <c r="Q76" s="82">
        <f t="shared" si="7"/>
        <v>159</v>
      </c>
    </row>
    <row r="77" spans="1:17" ht="16.5" thickBot="1" x14ac:dyDescent="0.3">
      <c r="I77" s="77" t="str">
        <f>SUM(I3:I76)&amp;" Agents"</f>
        <v>259.0506 Agents</v>
      </c>
      <c r="J77" s="78"/>
      <c r="K77" s="79">
        <f>SUM(K3:K76)</f>
        <v>123696.31199999999</v>
      </c>
      <c r="L77" s="77" t="str">
        <f>SUM(L3:L76)&amp;" Agents"</f>
        <v>259.0506 Agents</v>
      </c>
      <c r="M77" s="78"/>
      <c r="N77" s="79">
        <f>SUM(N3:N76)</f>
        <v>122056.31199999999</v>
      </c>
      <c r="O77" s="77" t="str">
        <f>SUM(O3:O76)&amp;" Agents"</f>
        <v>257.0506 Agents</v>
      </c>
      <c r="P77" s="78"/>
      <c r="Q77" s="79">
        <f>SUM(Q3:Q76)</f>
        <v>120936.31199999999</v>
      </c>
    </row>
    <row r="79" spans="1:17" x14ac:dyDescent="0.25">
      <c r="E79" s="76"/>
    </row>
  </sheetData>
  <autoFilter ref="A2:K77" xr:uid="{27979AD7-EC43-4A0B-86E4-5BD8C7CB9B8C}"/>
  <mergeCells count="4">
    <mergeCell ref="I1:K1"/>
    <mergeCell ref="A1:H1"/>
    <mergeCell ref="L1:N1"/>
    <mergeCell ref="O1:Q1"/>
  </mergeCells>
  <phoneticPr fontId="5" type="noConversion"/>
  <conditionalFormatting sqref="A3:Q76">
    <cfRule type="expression" dxfId="20" priority="1">
      <formula>CELL("row")=ROW()</formula>
    </cfRule>
  </conditionalFormatting>
  <conditionalFormatting sqref="E3:E76">
    <cfRule type="containsText" dxfId="19" priority="13" operator="containsText" text="Helpers">
      <formula>NOT(ISERROR(SEARCH("Helpers",E3)))</formula>
    </cfRule>
    <cfRule type="containsText" dxfId="18" priority="14" operator="containsText" text="Cleaning">
      <formula>NOT(ISERROR(SEARCH("Cleaning",E3)))</formula>
    </cfRule>
  </conditionalFormatting>
  <conditionalFormatting sqref="E70:E76">
    <cfRule type="containsText" dxfId="17" priority="12" operator="containsText" text="Grocery">
      <formula>NOT(ISERROR(SEARCH("Grocery",E70)))</formula>
    </cfRule>
  </conditionalFormatting>
  <conditionalFormatting sqref="K3:K77 N3:N77 Q3:Q77">
    <cfRule type="expression" dxfId="16" priority="21">
      <formula>K3&gt;#REF!</formula>
    </cfRule>
    <cfRule type="expression" dxfId="15" priority="22">
      <formula>K3=#REF!</formula>
    </cfRule>
    <cfRule type="expression" dxfId="14" priority="23">
      <formula>K3&lt;#REF!</formula>
    </cfRule>
  </conditionalFormatting>
  <pageMargins left="0.7" right="0.7" top="0.75" bottom="0.75" header="0.3" footer="0.3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81CB-E76C-46E7-9CC5-1FFA1F15D624}">
  <sheetPr>
    <tabColor rgb="FF92D050"/>
  </sheetPr>
  <dimension ref="A1:L34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O4" sqref="O4"/>
    </sheetView>
  </sheetViews>
  <sheetFormatPr defaultColWidth="9.28515625" defaultRowHeight="15" x14ac:dyDescent="0.25"/>
  <cols>
    <col min="1" max="1" width="11" bestFit="1" customWidth="1"/>
    <col min="2" max="2" width="10.7109375" bestFit="1" customWidth="1"/>
    <col min="3" max="3" width="21" bestFit="1" customWidth="1"/>
    <col min="4" max="4" width="10.140625" bestFit="1" customWidth="1"/>
    <col min="5" max="5" width="7.85546875" bestFit="1" customWidth="1"/>
    <col min="6" max="6" width="16.7109375" customWidth="1"/>
    <col min="7" max="7" width="10.5703125" bestFit="1" customWidth="1"/>
    <col min="8" max="8" width="8.42578125" bestFit="1" customWidth="1"/>
    <col min="9" max="9" width="12.140625" bestFit="1" customWidth="1"/>
    <col min="10" max="10" width="10.28515625" bestFit="1" customWidth="1"/>
    <col min="11" max="11" width="8.28515625" bestFit="1" customWidth="1"/>
    <col min="12" max="12" width="11.7109375" bestFit="1" customWidth="1"/>
  </cols>
  <sheetData>
    <row r="1" spans="1:12" ht="19.5" thickBot="1" x14ac:dyDescent="0.3">
      <c r="A1" s="112"/>
      <c r="B1" s="113"/>
      <c r="C1" s="113"/>
      <c r="D1" s="113"/>
      <c r="E1" s="113"/>
      <c r="F1" s="113"/>
      <c r="G1" s="109" t="s">
        <v>115</v>
      </c>
      <c r="H1" s="110"/>
      <c r="I1" s="111"/>
      <c r="J1" s="109" t="s">
        <v>208</v>
      </c>
      <c r="K1" s="110"/>
      <c r="L1" s="111"/>
    </row>
    <row r="2" spans="1:12" ht="32.25" thickBot="1" x14ac:dyDescent="0.3">
      <c r="A2" s="89" t="s">
        <v>0</v>
      </c>
      <c r="B2" s="90" t="s">
        <v>1</v>
      </c>
      <c r="C2" s="91" t="s">
        <v>2</v>
      </c>
      <c r="D2" s="91" t="s">
        <v>3</v>
      </c>
      <c r="E2" s="91" t="s">
        <v>4</v>
      </c>
      <c r="F2" s="92" t="s">
        <v>119</v>
      </c>
      <c r="G2" s="55" t="s">
        <v>112</v>
      </c>
      <c r="H2" s="56" t="s">
        <v>113</v>
      </c>
      <c r="I2" s="57" t="s">
        <v>114</v>
      </c>
      <c r="J2" s="55" t="s">
        <v>112</v>
      </c>
      <c r="K2" s="56" t="s">
        <v>113</v>
      </c>
      <c r="L2" s="57" t="s">
        <v>114</v>
      </c>
    </row>
    <row r="3" spans="1:12" x14ac:dyDescent="0.25">
      <c r="A3" s="8" t="s">
        <v>65</v>
      </c>
      <c r="B3" s="9" t="s">
        <v>8</v>
      </c>
      <c r="C3" s="9" t="s">
        <v>160</v>
      </c>
      <c r="D3" s="71" t="s">
        <v>159</v>
      </c>
      <c r="E3" s="9" t="s">
        <v>156</v>
      </c>
      <c r="F3" s="63">
        <v>9</v>
      </c>
      <c r="G3" s="31">
        <v>3</v>
      </c>
      <c r="H3" s="32">
        <v>500</v>
      </c>
      <c r="I3" s="33">
        <f>H3*G3</f>
        <v>1500</v>
      </c>
      <c r="J3" s="31">
        <v>3</v>
      </c>
      <c r="K3" s="32">
        <v>500</v>
      </c>
      <c r="L3" s="33">
        <f>K3*J3</f>
        <v>1500</v>
      </c>
    </row>
    <row r="4" spans="1:12" x14ac:dyDescent="0.25">
      <c r="A4" s="8" t="s">
        <v>38</v>
      </c>
      <c r="B4" s="9" t="s">
        <v>8</v>
      </c>
      <c r="C4" s="9" t="s">
        <v>39</v>
      </c>
      <c r="D4" s="71" t="s">
        <v>159</v>
      </c>
      <c r="E4" s="9" t="s">
        <v>156</v>
      </c>
      <c r="F4" s="63">
        <v>12</v>
      </c>
      <c r="G4" s="31">
        <v>1</v>
      </c>
      <c r="H4" s="32">
        <v>500</v>
      </c>
      <c r="I4" s="33">
        <f t="shared" ref="I4:I33" si="0">H4*G4</f>
        <v>500</v>
      </c>
      <c r="J4" s="31">
        <v>1</v>
      </c>
      <c r="K4" s="32">
        <v>600</v>
      </c>
      <c r="L4" s="33">
        <f t="shared" ref="L4:L33" si="1">K4*J4</f>
        <v>600</v>
      </c>
    </row>
    <row r="5" spans="1:12" x14ac:dyDescent="0.25">
      <c r="A5" s="8" t="s">
        <v>74</v>
      </c>
      <c r="B5" s="9" t="s">
        <v>8</v>
      </c>
      <c r="C5" s="9" t="s">
        <v>75</v>
      </c>
      <c r="D5" s="71" t="s">
        <v>159</v>
      </c>
      <c r="E5" s="9" t="s">
        <v>156</v>
      </c>
      <c r="F5" s="63">
        <v>9</v>
      </c>
      <c r="G5" s="31">
        <v>6</v>
      </c>
      <c r="H5" s="32">
        <v>500</v>
      </c>
      <c r="I5" s="33">
        <f t="shared" si="0"/>
        <v>3000</v>
      </c>
      <c r="J5" s="31">
        <v>6</v>
      </c>
      <c r="K5" s="32">
        <v>500</v>
      </c>
      <c r="L5" s="33">
        <f t="shared" si="1"/>
        <v>3000</v>
      </c>
    </row>
    <row r="6" spans="1:12" x14ac:dyDescent="0.25">
      <c r="A6" s="8" t="s">
        <v>59</v>
      </c>
      <c r="B6" s="9" t="s">
        <v>20</v>
      </c>
      <c r="C6" s="9" t="s">
        <v>60</v>
      </c>
      <c r="D6" s="71" t="s">
        <v>159</v>
      </c>
      <c r="E6" s="9" t="s">
        <v>156</v>
      </c>
      <c r="F6" s="63">
        <v>9</v>
      </c>
      <c r="G6" s="31">
        <v>10</v>
      </c>
      <c r="H6" s="72">
        <v>500</v>
      </c>
      <c r="I6" s="33">
        <f t="shared" si="0"/>
        <v>5000</v>
      </c>
      <c r="J6" s="31">
        <v>10</v>
      </c>
      <c r="K6" s="72">
        <v>500</v>
      </c>
      <c r="L6" s="33">
        <f t="shared" si="1"/>
        <v>5000</v>
      </c>
    </row>
    <row r="7" spans="1:12" x14ac:dyDescent="0.25">
      <c r="A7" s="8" t="s">
        <v>170</v>
      </c>
      <c r="B7" s="9" t="s">
        <v>83</v>
      </c>
      <c r="C7" s="9" t="s">
        <v>171</v>
      </c>
      <c r="D7" s="71" t="s">
        <v>159</v>
      </c>
      <c r="E7" s="9" t="s">
        <v>156</v>
      </c>
      <c r="F7" s="63">
        <v>9</v>
      </c>
      <c r="G7" s="31">
        <v>1</v>
      </c>
      <c r="H7" s="32">
        <v>500</v>
      </c>
      <c r="I7" s="33">
        <f t="shared" si="0"/>
        <v>500</v>
      </c>
      <c r="J7" s="31">
        <v>0</v>
      </c>
      <c r="K7" s="72">
        <v>0</v>
      </c>
      <c r="L7" s="99">
        <f t="shared" si="1"/>
        <v>0</v>
      </c>
    </row>
    <row r="8" spans="1:12" x14ac:dyDescent="0.25">
      <c r="A8" s="8" t="s">
        <v>173</v>
      </c>
      <c r="B8" s="9" t="s">
        <v>20</v>
      </c>
      <c r="C8" s="9" t="s">
        <v>174</v>
      </c>
      <c r="D8" s="71" t="s">
        <v>159</v>
      </c>
      <c r="E8" s="9" t="s">
        <v>156</v>
      </c>
      <c r="F8" s="63">
        <v>9</v>
      </c>
      <c r="G8" s="31">
        <v>5</v>
      </c>
      <c r="H8" s="32">
        <v>500</v>
      </c>
      <c r="I8" s="33">
        <f t="shared" si="0"/>
        <v>2500</v>
      </c>
      <c r="J8" s="31">
        <v>0</v>
      </c>
      <c r="K8" s="72">
        <v>0</v>
      </c>
      <c r="L8" s="99">
        <f t="shared" si="1"/>
        <v>0</v>
      </c>
    </row>
    <row r="9" spans="1:12" x14ac:dyDescent="0.25">
      <c r="A9" s="8" t="s">
        <v>128</v>
      </c>
      <c r="B9" s="9" t="s">
        <v>8</v>
      </c>
      <c r="C9" s="9" t="s">
        <v>129</v>
      </c>
      <c r="D9" s="71" t="s">
        <v>159</v>
      </c>
      <c r="E9" s="9" t="s">
        <v>156</v>
      </c>
      <c r="F9" s="63">
        <v>9</v>
      </c>
      <c r="G9" s="31">
        <v>10</v>
      </c>
      <c r="H9" s="32">
        <v>500</v>
      </c>
      <c r="I9" s="33">
        <f t="shared" si="0"/>
        <v>5000</v>
      </c>
      <c r="J9" s="31">
        <v>8</v>
      </c>
      <c r="K9" s="72">
        <v>500</v>
      </c>
      <c r="L9" s="99">
        <f t="shared" si="1"/>
        <v>4000</v>
      </c>
    </row>
    <row r="10" spans="1:12" x14ac:dyDescent="0.25">
      <c r="A10" s="8" t="s">
        <v>18</v>
      </c>
      <c r="B10" s="9" t="s">
        <v>8</v>
      </c>
      <c r="C10" s="9" t="s">
        <v>178</v>
      </c>
      <c r="D10" s="71" t="s">
        <v>159</v>
      </c>
      <c r="E10" s="9" t="s">
        <v>156</v>
      </c>
      <c r="F10" s="63">
        <v>9</v>
      </c>
      <c r="G10" s="31">
        <v>3</v>
      </c>
      <c r="H10" s="32">
        <v>500</v>
      </c>
      <c r="I10" s="33">
        <f t="shared" si="0"/>
        <v>1500</v>
      </c>
      <c r="J10" s="31">
        <v>3</v>
      </c>
      <c r="K10" s="72">
        <v>500</v>
      </c>
      <c r="L10" s="99">
        <f t="shared" si="1"/>
        <v>1500</v>
      </c>
    </row>
    <row r="11" spans="1:12" x14ac:dyDescent="0.25">
      <c r="A11" s="8" t="s">
        <v>16</v>
      </c>
      <c r="B11" s="9" t="s">
        <v>8</v>
      </c>
      <c r="C11" s="9" t="s">
        <v>122</v>
      </c>
      <c r="D11" s="71" t="s">
        <v>159</v>
      </c>
      <c r="E11" s="9" t="s">
        <v>156</v>
      </c>
      <c r="F11" s="63">
        <v>9</v>
      </c>
      <c r="G11" s="31">
        <v>6</v>
      </c>
      <c r="H11" s="32">
        <v>500</v>
      </c>
      <c r="I11" s="33">
        <f t="shared" si="0"/>
        <v>3000</v>
      </c>
      <c r="J11" s="31">
        <v>9</v>
      </c>
      <c r="K11" s="72">
        <v>500</v>
      </c>
      <c r="L11" s="99">
        <f t="shared" si="1"/>
        <v>4500</v>
      </c>
    </row>
    <row r="12" spans="1:12" x14ac:dyDescent="0.25">
      <c r="A12" s="8" t="s">
        <v>179</v>
      </c>
      <c r="B12" s="9" t="s">
        <v>8</v>
      </c>
      <c r="C12" s="9" t="s">
        <v>127</v>
      </c>
      <c r="D12" s="71" t="s">
        <v>159</v>
      </c>
      <c r="E12" s="9" t="s">
        <v>156</v>
      </c>
      <c r="F12" s="63">
        <v>9</v>
      </c>
      <c r="G12" s="31">
        <v>14</v>
      </c>
      <c r="H12" s="32">
        <v>500</v>
      </c>
      <c r="I12" s="33">
        <f t="shared" si="0"/>
        <v>7000</v>
      </c>
      <c r="J12" s="31">
        <v>14</v>
      </c>
      <c r="K12" s="72">
        <v>500</v>
      </c>
      <c r="L12" s="99">
        <f t="shared" si="1"/>
        <v>7000</v>
      </c>
    </row>
    <row r="13" spans="1:12" x14ac:dyDescent="0.25">
      <c r="A13" s="8" t="s">
        <v>44</v>
      </c>
      <c r="B13" s="9" t="s">
        <v>8</v>
      </c>
      <c r="C13" s="9" t="s">
        <v>180</v>
      </c>
      <c r="D13" s="71" t="s">
        <v>159</v>
      </c>
      <c r="E13" s="9" t="s">
        <v>156</v>
      </c>
      <c r="F13" s="63">
        <v>9</v>
      </c>
      <c r="G13" s="31">
        <v>3</v>
      </c>
      <c r="H13" s="32">
        <v>500</v>
      </c>
      <c r="I13" s="33">
        <f t="shared" si="0"/>
        <v>1500</v>
      </c>
      <c r="J13" s="31">
        <v>0</v>
      </c>
      <c r="K13" s="72">
        <v>0</v>
      </c>
      <c r="L13" s="99">
        <f t="shared" si="1"/>
        <v>0</v>
      </c>
    </row>
    <row r="14" spans="1:12" x14ac:dyDescent="0.25">
      <c r="A14" s="8" t="s">
        <v>61</v>
      </c>
      <c r="B14" s="9" t="s">
        <v>8</v>
      </c>
      <c r="C14" s="9" t="s">
        <v>181</v>
      </c>
      <c r="D14" s="71" t="s">
        <v>159</v>
      </c>
      <c r="E14" s="9" t="s">
        <v>156</v>
      </c>
      <c r="F14" s="63">
        <v>9</v>
      </c>
      <c r="G14" s="31">
        <v>8</v>
      </c>
      <c r="H14" s="32">
        <v>500</v>
      </c>
      <c r="I14" s="33">
        <f t="shared" si="0"/>
        <v>4000</v>
      </c>
      <c r="J14" s="31">
        <v>15</v>
      </c>
      <c r="K14" s="72">
        <v>500</v>
      </c>
      <c r="L14" s="99">
        <f t="shared" si="1"/>
        <v>7500</v>
      </c>
    </row>
    <row r="15" spans="1:12" x14ac:dyDescent="0.25">
      <c r="A15" s="8" t="s">
        <v>77</v>
      </c>
      <c r="B15" s="9" t="s">
        <v>8</v>
      </c>
      <c r="C15" s="9" t="s">
        <v>182</v>
      </c>
      <c r="D15" s="71" t="s">
        <v>159</v>
      </c>
      <c r="E15" s="9" t="s">
        <v>156</v>
      </c>
      <c r="F15" s="63">
        <v>9</v>
      </c>
      <c r="G15" s="31">
        <v>6</v>
      </c>
      <c r="H15" s="32">
        <v>500</v>
      </c>
      <c r="I15" s="33">
        <f t="shared" si="0"/>
        <v>3000</v>
      </c>
      <c r="J15" s="31">
        <v>6</v>
      </c>
      <c r="K15" s="72">
        <v>500</v>
      </c>
      <c r="L15" s="99">
        <f t="shared" si="1"/>
        <v>3000</v>
      </c>
    </row>
    <row r="16" spans="1:12" x14ac:dyDescent="0.25">
      <c r="A16" s="8" t="s">
        <v>50</v>
      </c>
      <c r="B16" s="9" t="s">
        <v>20</v>
      </c>
      <c r="C16" s="9" t="s">
        <v>183</v>
      </c>
      <c r="D16" s="71" t="s">
        <v>159</v>
      </c>
      <c r="E16" s="9" t="s">
        <v>156</v>
      </c>
      <c r="F16" s="63">
        <v>9</v>
      </c>
      <c r="G16" s="31">
        <v>7</v>
      </c>
      <c r="H16" s="32">
        <v>500</v>
      </c>
      <c r="I16" s="33">
        <f t="shared" si="0"/>
        <v>3500</v>
      </c>
      <c r="J16" s="31">
        <v>7</v>
      </c>
      <c r="K16" s="72">
        <v>500</v>
      </c>
      <c r="L16" s="99">
        <f t="shared" si="1"/>
        <v>3500</v>
      </c>
    </row>
    <row r="17" spans="1:12" x14ac:dyDescent="0.25">
      <c r="A17" s="8" t="s">
        <v>100</v>
      </c>
      <c r="B17" s="9" t="s">
        <v>20</v>
      </c>
      <c r="C17" s="9" t="s">
        <v>184</v>
      </c>
      <c r="D17" s="71" t="s">
        <v>159</v>
      </c>
      <c r="E17" s="9" t="s">
        <v>156</v>
      </c>
      <c r="F17" s="63">
        <v>9</v>
      </c>
      <c r="G17" s="31">
        <v>3</v>
      </c>
      <c r="H17" s="32">
        <v>500</v>
      </c>
      <c r="I17" s="33">
        <f t="shared" si="0"/>
        <v>1500</v>
      </c>
      <c r="J17" s="31">
        <v>5</v>
      </c>
      <c r="K17" s="72">
        <v>500</v>
      </c>
      <c r="L17" s="99">
        <f t="shared" si="1"/>
        <v>2500</v>
      </c>
    </row>
    <row r="18" spans="1:12" x14ac:dyDescent="0.25">
      <c r="A18" s="8" t="s">
        <v>54</v>
      </c>
      <c r="B18" s="9" t="s">
        <v>20</v>
      </c>
      <c r="C18" s="9" t="s">
        <v>55</v>
      </c>
      <c r="D18" s="71" t="s">
        <v>159</v>
      </c>
      <c r="E18" s="9" t="s">
        <v>156</v>
      </c>
      <c r="F18" s="63">
        <v>9</v>
      </c>
      <c r="G18" s="31">
        <v>3</v>
      </c>
      <c r="H18" s="32">
        <v>500</v>
      </c>
      <c r="I18" s="33">
        <f t="shared" si="0"/>
        <v>1500</v>
      </c>
      <c r="J18" s="31">
        <v>3</v>
      </c>
      <c r="K18" s="72">
        <v>500</v>
      </c>
      <c r="L18" s="99">
        <f t="shared" si="1"/>
        <v>1500</v>
      </c>
    </row>
    <row r="19" spans="1:12" x14ac:dyDescent="0.25">
      <c r="A19" s="8" t="s">
        <v>150</v>
      </c>
      <c r="B19" s="9" t="s">
        <v>83</v>
      </c>
      <c r="C19" s="9" t="s">
        <v>190</v>
      </c>
      <c r="D19" s="71" t="s">
        <v>159</v>
      </c>
      <c r="E19" s="9" t="s">
        <v>156</v>
      </c>
      <c r="F19" s="63">
        <v>9</v>
      </c>
      <c r="G19" s="31">
        <v>1</v>
      </c>
      <c r="H19" s="32">
        <v>500</v>
      </c>
      <c r="I19" s="33">
        <f t="shared" si="0"/>
        <v>500</v>
      </c>
      <c r="J19" s="31">
        <v>0</v>
      </c>
      <c r="K19" s="72">
        <v>500</v>
      </c>
      <c r="L19" s="99">
        <f t="shared" si="1"/>
        <v>0</v>
      </c>
    </row>
    <row r="20" spans="1:12" x14ac:dyDescent="0.25">
      <c r="A20" s="8" t="s">
        <v>191</v>
      </c>
      <c r="B20" s="9" t="s">
        <v>83</v>
      </c>
      <c r="C20" s="9" t="s">
        <v>192</v>
      </c>
      <c r="D20" s="71" t="s">
        <v>159</v>
      </c>
      <c r="E20" s="9" t="s">
        <v>156</v>
      </c>
      <c r="F20" s="63">
        <v>9</v>
      </c>
      <c r="G20" s="31">
        <v>1</v>
      </c>
      <c r="H20" s="32">
        <v>500</v>
      </c>
      <c r="I20" s="33">
        <f t="shared" si="0"/>
        <v>500</v>
      </c>
      <c r="J20" s="31">
        <v>0</v>
      </c>
      <c r="K20" s="72">
        <v>0</v>
      </c>
      <c r="L20" s="99">
        <f t="shared" si="1"/>
        <v>0</v>
      </c>
    </row>
    <row r="21" spans="1:12" x14ac:dyDescent="0.25">
      <c r="A21" s="8" t="s">
        <v>157</v>
      </c>
      <c r="B21" s="9" t="s">
        <v>83</v>
      </c>
      <c r="C21" s="9" t="s">
        <v>158</v>
      </c>
      <c r="D21" s="71" t="s">
        <v>159</v>
      </c>
      <c r="E21" s="9" t="s">
        <v>156</v>
      </c>
      <c r="F21" s="63">
        <v>9</v>
      </c>
      <c r="G21" s="31">
        <v>1</v>
      </c>
      <c r="H21" s="32">
        <v>500</v>
      </c>
      <c r="I21" s="33">
        <f t="shared" si="0"/>
        <v>500</v>
      </c>
      <c r="J21" s="31">
        <v>1</v>
      </c>
      <c r="K21" s="72">
        <v>500</v>
      </c>
      <c r="L21" s="99">
        <f t="shared" si="1"/>
        <v>500</v>
      </c>
    </row>
    <row r="22" spans="1:12" x14ac:dyDescent="0.25">
      <c r="A22" s="8" t="s">
        <v>193</v>
      </c>
      <c r="B22" s="9" t="s">
        <v>83</v>
      </c>
      <c r="C22" s="9" t="s">
        <v>194</v>
      </c>
      <c r="D22" s="71" t="s">
        <v>159</v>
      </c>
      <c r="E22" s="9" t="s">
        <v>156</v>
      </c>
      <c r="F22" s="63">
        <v>9</v>
      </c>
      <c r="G22" s="31">
        <v>1</v>
      </c>
      <c r="H22" s="32">
        <v>500</v>
      </c>
      <c r="I22" s="33">
        <f t="shared" si="0"/>
        <v>500</v>
      </c>
      <c r="J22" s="31">
        <v>0</v>
      </c>
      <c r="K22" s="72">
        <v>0</v>
      </c>
      <c r="L22" s="99">
        <f t="shared" si="1"/>
        <v>0</v>
      </c>
    </row>
    <row r="23" spans="1:12" x14ac:dyDescent="0.25">
      <c r="A23" s="8" t="s">
        <v>147</v>
      </c>
      <c r="B23" s="9" t="s">
        <v>83</v>
      </c>
      <c r="C23" s="9" t="s">
        <v>148</v>
      </c>
      <c r="D23" s="71" t="s">
        <v>159</v>
      </c>
      <c r="E23" s="9" t="s">
        <v>156</v>
      </c>
      <c r="F23" s="63">
        <v>9</v>
      </c>
      <c r="G23" s="31">
        <v>2</v>
      </c>
      <c r="H23" s="32">
        <v>500</v>
      </c>
      <c r="I23" s="33">
        <f t="shared" si="0"/>
        <v>1000</v>
      </c>
      <c r="J23" s="31">
        <v>2</v>
      </c>
      <c r="K23" s="72">
        <v>500</v>
      </c>
      <c r="L23" s="99">
        <f t="shared" si="1"/>
        <v>1000</v>
      </c>
    </row>
    <row r="24" spans="1:12" x14ac:dyDescent="0.25">
      <c r="A24" s="8" t="s">
        <v>205</v>
      </c>
      <c r="B24" s="9" t="s">
        <v>83</v>
      </c>
      <c r="C24" s="9" t="s">
        <v>195</v>
      </c>
      <c r="D24" s="71" t="s">
        <v>159</v>
      </c>
      <c r="E24" s="9" t="s">
        <v>156</v>
      </c>
      <c r="F24" s="63">
        <v>9</v>
      </c>
      <c r="G24" s="31">
        <v>1</v>
      </c>
      <c r="H24" s="32">
        <v>500</v>
      </c>
      <c r="I24" s="33">
        <f t="shared" si="0"/>
        <v>500</v>
      </c>
      <c r="J24" s="31">
        <v>1</v>
      </c>
      <c r="K24" s="72">
        <v>500</v>
      </c>
      <c r="L24" s="99">
        <f t="shared" si="1"/>
        <v>500</v>
      </c>
    </row>
    <row r="25" spans="1:12" x14ac:dyDescent="0.25">
      <c r="A25" s="8" t="s">
        <v>164</v>
      </c>
      <c r="B25" s="9" t="s">
        <v>83</v>
      </c>
      <c r="C25" s="9" t="s">
        <v>196</v>
      </c>
      <c r="D25" s="71" t="s">
        <v>159</v>
      </c>
      <c r="E25" s="9" t="s">
        <v>156</v>
      </c>
      <c r="F25" s="63">
        <v>9</v>
      </c>
      <c r="G25" s="31">
        <v>1</v>
      </c>
      <c r="H25" s="32">
        <v>500</v>
      </c>
      <c r="I25" s="33">
        <f t="shared" si="0"/>
        <v>500</v>
      </c>
      <c r="J25" s="31">
        <v>1</v>
      </c>
      <c r="K25" s="32">
        <v>500</v>
      </c>
      <c r="L25" s="33">
        <f t="shared" si="1"/>
        <v>500</v>
      </c>
    </row>
    <row r="26" spans="1:12" x14ac:dyDescent="0.25">
      <c r="A26" s="8" t="s">
        <v>143</v>
      </c>
      <c r="B26" s="9" t="s">
        <v>83</v>
      </c>
      <c r="C26" s="9" t="s">
        <v>211</v>
      </c>
      <c r="D26" s="71" t="s">
        <v>159</v>
      </c>
      <c r="E26" s="9" t="s">
        <v>156</v>
      </c>
      <c r="F26" s="63">
        <v>9</v>
      </c>
      <c r="G26" s="31">
        <v>0</v>
      </c>
      <c r="H26" s="32">
        <v>0</v>
      </c>
      <c r="I26" s="33">
        <f t="shared" si="0"/>
        <v>0</v>
      </c>
      <c r="J26" s="31">
        <v>1</v>
      </c>
      <c r="K26" s="32">
        <v>500</v>
      </c>
      <c r="L26" s="33">
        <f t="shared" si="1"/>
        <v>500</v>
      </c>
    </row>
    <row r="27" spans="1:12" x14ac:dyDescent="0.25">
      <c r="A27" s="8" t="s">
        <v>197</v>
      </c>
      <c r="B27" s="9" t="s">
        <v>83</v>
      </c>
      <c r="C27" s="9" t="s">
        <v>198</v>
      </c>
      <c r="D27" s="71" t="s">
        <v>159</v>
      </c>
      <c r="E27" s="9" t="s">
        <v>156</v>
      </c>
      <c r="F27" s="63">
        <v>9</v>
      </c>
      <c r="G27" s="31">
        <v>1</v>
      </c>
      <c r="H27" s="32">
        <v>500</v>
      </c>
      <c r="I27" s="33">
        <f t="shared" si="0"/>
        <v>500</v>
      </c>
      <c r="J27" s="31">
        <v>1</v>
      </c>
      <c r="K27" s="32">
        <v>500</v>
      </c>
      <c r="L27" s="33">
        <f t="shared" si="1"/>
        <v>500</v>
      </c>
    </row>
    <row r="28" spans="1:12" x14ac:dyDescent="0.25">
      <c r="A28" s="8" t="s">
        <v>30</v>
      </c>
      <c r="B28" s="9" t="s">
        <v>30</v>
      </c>
      <c r="C28" s="9" t="s">
        <v>199</v>
      </c>
      <c r="D28" s="71" t="s">
        <v>159</v>
      </c>
      <c r="E28" s="9" t="s">
        <v>156</v>
      </c>
      <c r="F28" s="63">
        <v>9</v>
      </c>
      <c r="G28" s="31">
        <v>3</v>
      </c>
      <c r="H28" s="32">
        <v>500</v>
      </c>
      <c r="I28" s="33">
        <f t="shared" si="0"/>
        <v>1500</v>
      </c>
      <c r="J28" s="31">
        <v>3</v>
      </c>
      <c r="K28" s="32">
        <v>500</v>
      </c>
      <c r="L28" s="33">
        <f t="shared" si="1"/>
        <v>1500</v>
      </c>
    </row>
    <row r="29" spans="1:12" x14ac:dyDescent="0.25">
      <c r="A29" s="8" t="s">
        <v>30</v>
      </c>
      <c r="B29" s="9" t="s">
        <v>30</v>
      </c>
      <c r="C29" s="9" t="s">
        <v>199</v>
      </c>
      <c r="D29" s="71" t="s">
        <v>159</v>
      </c>
      <c r="E29" s="9" t="s">
        <v>156</v>
      </c>
      <c r="F29" s="63">
        <v>10</v>
      </c>
      <c r="G29" s="31">
        <v>26</v>
      </c>
      <c r="H29" s="32">
        <v>500</v>
      </c>
      <c r="I29" s="33">
        <f t="shared" si="0"/>
        <v>13000</v>
      </c>
      <c r="J29" s="31">
        <v>26</v>
      </c>
      <c r="K29" s="32">
        <v>500</v>
      </c>
      <c r="L29" s="33">
        <f t="shared" si="1"/>
        <v>13000</v>
      </c>
    </row>
    <row r="30" spans="1:12" x14ac:dyDescent="0.25">
      <c r="A30" s="8" t="s">
        <v>201</v>
      </c>
      <c r="B30" s="9" t="s">
        <v>8</v>
      </c>
      <c r="C30" s="9" t="s">
        <v>202</v>
      </c>
      <c r="D30" s="74" t="s">
        <v>203</v>
      </c>
      <c r="E30" s="9" t="s">
        <v>156</v>
      </c>
      <c r="F30" s="63">
        <v>9</v>
      </c>
      <c r="G30" s="31">
        <v>3</v>
      </c>
      <c r="H30" s="32">
        <v>475</v>
      </c>
      <c r="I30" s="33">
        <f t="shared" si="0"/>
        <v>1425</v>
      </c>
      <c r="J30" s="31">
        <v>0</v>
      </c>
      <c r="K30" s="32">
        <v>0</v>
      </c>
      <c r="L30" s="33">
        <f t="shared" si="1"/>
        <v>0</v>
      </c>
    </row>
    <row r="31" spans="1:12" x14ac:dyDescent="0.25">
      <c r="A31" s="8" t="s">
        <v>128</v>
      </c>
      <c r="B31" s="9" t="s">
        <v>8</v>
      </c>
      <c r="C31" s="9" t="s">
        <v>129</v>
      </c>
      <c r="D31" s="75" t="s">
        <v>204</v>
      </c>
      <c r="E31" s="9" t="s">
        <v>156</v>
      </c>
      <c r="F31" s="63">
        <v>9</v>
      </c>
      <c r="G31" s="31">
        <v>4</v>
      </c>
      <c r="H31" s="32">
        <v>430</v>
      </c>
      <c r="I31" s="33">
        <f t="shared" si="0"/>
        <v>1720</v>
      </c>
      <c r="J31" s="31">
        <v>4</v>
      </c>
      <c r="K31" s="32">
        <v>430</v>
      </c>
      <c r="L31" s="33">
        <f t="shared" si="1"/>
        <v>1720</v>
      </c>
    </row>
    <row r="32" spans="1:12" x14ac:dyDescent="0.25">
      <c r="A32" s="8" t="s">
        <v>197</v>
      </c>
      <c r="B32" s="9" t="s">
        <v>83</v>
      </c>
      <c r="C32" s="9" t="s">
        <v>198</v>
      </c>
      <c r="D32" s="75" t="s">
        <v>204</v>
      </c>
      <c r="E32" s="9" t="s">
        <v>156</v>
      </c>
      <c r="F32" s="63">
        <v>9</v>
      </c>
      <c r="G32" s="31">
        <v>1</v>
      </c>
      <c r="H32" s="32">
        <v>430</v>
      </c>
      <c r="I32" s="33">
        <f t="shared" si="0"/>
        <v>430</v>
      </c>
      <c r="J32" s="31">
        <v>1</v>
      </c>
      <c r="K32" s="32">
        <v>430</v>
      </c>
      <c r="L32" s="33">
        <f t="shared" si="1"/>
        <v>430</v>
      </c>
    </row>
    <row r="33" spans="1:12" ht="15.75" thickBot="1" x14ac:dyDescent="0.3">
      <c r="A33" s="23" t="s">
        <v>65</v>
      </c>
      <c r="B33" s="24" t="s">
        <v>8</v>
      </c>
      <c r="C33" s="24" t="s">
        <v>160</v>
      </c>
      <c r="D33" s="80" t="s">
        <v>204</v>
      </c>
      <c r="E33" s="24" t="s">
        <v>156</v>
      </c>
      <c r="F33" s="81">
        <v>9</v>
      </c>
      <c r="G33" s="38">
        <v>1</v>
      </c>
      <c r="H33" s="39">
        <v>430</v>
      </c>
      <c r="I33" s="40">
        <f t="shared" si="0"/>
        <v>430</v>
      </c>
      <c r="J33" s="38">
        <v>1</v>
      </c>
      <c r="K33" s="39">
        <v>430</v>
      </c>
      <c r="L33" s="40">
        <f t="shared" si="1"/>
        <v>430</v>
      </c>
    </row>
    <row r="34" spans="1:12" ht="15.75" thickBot="1" x14ac:dyDescent="0.3">
      <c r="G34" s="95" t="str">
        <f>SUM(G3:G33)&amp;" Agents"</f>
        <v>136 Agents</v>
      </c>
      <c r="I34" s="93">
        <f>SUM(I3:I33)</f>
        <v>67505</v>
      </c>
      <c r="J34" s="95" t="str">
        <f>SUM(J3:J33)&amp;" Agents"</f>
        <v>132 Agents</v>
      </c>
      <c r="L34" s="93">
        <f>SUM(L3:L33)</f>
        <v>65680</v>
      </c>
    </row>
  </sheetData>
  <autoFilter ref="A2:I34" xr:uid="{C73A81CB-E76C-46E7-9CC5-1FFA1F15D624}"/>
  <mergeCells count="3">
    <mergeCell ref="A1:F1"/>
    <mergeCell ref="G1:I1"/>
    <mergeCell ref="J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123ADB33A5A94BA4E53F2576F5F872" ma:contentTypeVersion="14" ma:contentTypeDescription="Create a new document." ma:contentTypeScope="" ma:versionID="b20ffd06e4b2b80f76342ded98310a05">
  <xsd:schema xmlns:xsd="http://www.w3.org/2001/XMLSchema" xmlns:xs="http://www.w3.org/2001/XMLSchema" xmlns:p="http://schemas.microsoft.com/office/2006/metadata/properties" xmlns:ns2="7c1accad-3a8e-48af-a157-76a38c4e166a" xmlns:ns3="a8dfe0e2-e451-4ac4-be57-339ca1e1a8c1" targetNamespace="http://schemas.microsoft.com/office/2006/metadata/properties" ma:root="true" ma:fieldsID="ccd168c02380c4a502da6a6f4ecad777" ns2:_="" ns3:_="">
    <xsd:import namespace="7c1accad-3a8e-48af-a157-76a38c4e166a"/>
    <xsd:import namespace="a8dfe0e2-e451-4ac4-be57-339ca1e1a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accad-3a8e-48af-a157-76a38c4e16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3a22fb3-7cb7-4324-a012-9a5501f59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fe0e2-e451-4ac4-be57-339ca1e1a8c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cac3559-aea6-4e8b-8ccb-fe9411954217}" ma:internalName="TaxCatchAll" ma:showField="CatchAllData" ma:web="a8dfe0e2-e451-4ac4-be57-339ca1e1a8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1accad-3a8e-48af-a157-76a38c4e166a">
      <Terms xmlns="http://schemas.microsoft.com/office/infopath/2007/PartnerControls"/>
    </lcf76f155ced4ddcb4097134ff3c332f>
    <TaxCatchAll xmlns="a8dfe0e2-e451-4ac4-be57-339ca1e1a8c1" xsi:nil="true"/>
  </documentManagement>
</p:properties>
</file>

<file path=customXml/itemProps1.xml><?xml version="1.0" encoding="utf-8"?>
<ds:datastoreItem xmlns:ds="http://schemas.openxmlformats.org/officeDocument/2006/customXml" ds:itemID="{AAED0F49-6EB3-4649-A3CA-9134B0444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4905FC-A2D2-45F2-A694-33C696836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accad-3a8e-48af-a157-76a38c4e166a"/>
    <ds:schemaRef ds:uri="a8dfe0e2-e451-4ac4-be57-339ca1e1a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DA1D56-81D9-4D29-9E95-CA6B814D014F}">
  <ds:schemaRefs>
    <ds:schemaRef ds:uri="http://schemas.microsoft.com/office/2006/metadata/properties"/>
    <ds:schemaRef ds:uri="http://schemas.microsoft.com/office/infopath/2007/PartnerControls"/>
    <ds:schemaRef ds:uri="7c1accad-3a8e-48af-a157-76a38c4e166a"/>
    <ds:schemaRef ds:uri="a8dfe0e2-e451-4ac4-be57-339ca1e1a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</vt:lpstr>
      <vt:lpstr>Valet</vt:lpstr>
      <vt:lpstr>Cleaning</vt:lpstr>
      <vt:lpstr>Helpers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El Tayar</dc:creator>
  <cp:lastModifiedBy>Elias El Tayar</cp:lastModifiedBy>
  <cp:lastPrinted>2026-02-13T10:14:04Z</cp:lastPrinted>
  <dcterms:created xsi:type="dcterms:W3CDTF">2015-06-05T18:17:20Z</dcterms:created>
  <dcterms:modified xsi:type="dcterms:W3CDTF">2026-02-26T07:40:29Z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0x01010036123ADB33A5A94BA4E53F2576F5F872</vt:lpwstr>
  </property>
  <property fmtid="{D5CDD505-2E9C-101B-9397-08002B2CF9AE}" pid="3" name="MediaServiceImageTags">
    <vt:lpwstr/>
  </property>
</Properties>
</file>